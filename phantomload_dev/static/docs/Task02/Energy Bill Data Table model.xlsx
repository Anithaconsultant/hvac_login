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itha.saravanan\Downloads\"/>
    </mc:Choice>
  </mc:AlternateContent>
  <xr:revisionPtr revIDLastSave="0" documentId="13_ncr:1_{2EA5A436-0825-4F80-A342-DB7E778E4C2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ttemp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u9PnXsOuKXlFPrqh87HSRCLAJKjis20rZA7sXze0agk="/>
    </ext>
  </extLst>
</workbook>
</file>

<file path=xl/calcChain.xml><?xml version="1.0" encoding="utf-8"?>
<calcChain xmlns="http://schemas.openxmlformats.org/spreadsheetml/2006/main">
  <c r="BJ13" i="1" l="1"/>
  <c r="BB13" i="1"/>
  <c r="AX13" i="1"/>
  <c r="AU13" i="1"/>
  <c r="AL13" i="1"/>
  <c r="AO13" i="1" s="1"/>
  <c r="AT13" i="1" s="1"/>
  <c r="AK13" i="1"/>
  <c r="AN13" i="1" s="1"/>
  <c r="AS13" i="1" s="1"/>
  <c r="AJ13" i="1"/>
  <c r="AM13" i="1" s="1"/>
  <c r="AR13" i="1" s="1"/>
  <c r="AF13" i="1"/>
  <c r="AD13" i="1"/>
  <c r="AB13" i="1"/>
  <c r="S13" i="1"/>
  <c r="U13" i="1" s="1"/>
  <c r="BL13" i="1" s="1"/>
  <c r="BR13" i="1" s="1"/>
  <c r="BL12" i="1"/>
  <c r="BR12" i="1" s="1"/>
  <c r="BJ12" i="1"/>
  <c r="BF12" i="1"/>
  <c r="BD12" i="1"/>
  <c r="AZ12" i="1"/>
  <c r="BB12" i="1" s="1"/>
  <c r="AV12" i="1"/>
  <c r="AX12" i="1" s="1"/>
  <c r="AU12" i="1"/>
  <c r="AL12" i="1"/>
  <c r="AO12" i="1" s="1"/>
  <c r="AT12" i="1" s="1"/>
  <c r="AJ12" i="1"/>
  <c r="AM12" i="1" s="1"/>
  <c r="AR12" i="1" s="1"/>
  <c r="AF12" i="1"/>
  <c r="AK12" i="1" s="1"/>
  <c r="AN12" i="1" s="1"/>
  <c r="AS12" i="1" s="1"/>
  <c r="AD12" i="1"/>
  <c r="AB12" i="1"/>
  <c r="U12" i="1"/>
  <c r="S12" i="1"/>
  <c r="BL11" i="1"/>
  <c r="BR11" i="1" s="1"/>
  <c r="BJ11" i="1"/>
  <c r="BD11" i="1"/>
  <c r="BF11" i="1" s="1"/>
  <c r="BB11" i="1"/>
  <c r="AZ11" i="1"/>
  <c r="AV11" i="1"/>
  <c r="AX11" i="1" s="1"/>
  <c r="AU11" i="1"/>
  <c r="AT11" i="1"/>
  <c r="AO11" i="1"/>
  <c r="AL11" i="1"/>
  <c r="AF11" i="1"/>
  <c r="AK11" i="1" s="1"/>
  <c r="AN11" i="1" s="1"/>
  <c r="AS11" i="1" s="1"/>
  <c r="AD11" i="1"/>
  <c r="AJ11" i="1" s="1"/>
  <c r="AM11" i="1" s="1"/>
  <c r="AR11" i="1" s="1"/>
  <c r="AB11" i="1"/>
  <c r="U11" i="1"/>
  <c r="S11" i="1"/>
  <c r="BJ10" i="1"/>
  <c r="BD10" i="1"/>
  <c r="BF10" i="1" s="1"/>
  <c r="AZ10" i="1"/>
  <c r="BB10" i="1" s="1"/>
  <c r="AX10" i="1"/>
  <c r="AV10" i="1"/>
  <c r="AU10" i="1"/>
  <c r="AO10" i="1"/>
  <c r="AT10" i="1" s="1"/>
  <c r="AL10" i="1"/>
  <c r="AF10" i="1"/>
  <c r="AK10" i="1" s="1"/>
  <c r="AN10" i="1" s="1"/>
  <c r="AS10" i="1" s="1"/>
  <c r="AD10" i="1"/>
  <c r="AJ10" i="1" s="1"/>
  <c r="AM10" i="1" s="1"/>
  <c r="AR10" i="1" s="1"/>
  <c r="AB10" i="1"/>
  <c r="S10" i="1"/>
  <c r="BL10" i="1" s="1"/>
  <c r="BR10" i="1" s="1"/>
  <c r="BJ9" i="1"/>
  <c r="BD9" i="1"/>
  <c r="BF9" i="1" s="1"/>
  <c r="AZ9" i="1"/>
  <c r="BB9" i="1" s="1"/>
  <c r="AV9" i="1"/>
  <c r="AX9" i="1" s="1"/>
  <c r="AU9" i="1"/>
  <c r="AN9" i="1"/>
  <c r="AS9" i="1" s="1"/>
  <c r="AM9" i="1"/>
  <c r="AR9" i="1" s="1"/>
  <c r="AL9" i="1"/>
  <c r="AO9" i="1" s="1"/>
  <c r="AT9" i="1" s="1"/>
  <c r="AK9" i="1"/>
  <c r="AJ9" i="1"/>
  <c r="AF9" i="1"/>
  <c r="AD9" i="1"/>
  <c r="AB9" i="1"/>
  <c r="S9" i="1"/>
  <c r="BL9" i="1" s="1"/>
  <c r="BR9" i="1" s="1"/>
  <c r="BL8" i="1"/>
  <c r="BR8" i="1" s="1"/>
  <c r="BJ8" i="1"/>
  <c r="BF8" i="1"/>
  <c r="BD8" i="1"/>
  <c r="BB8" i="1"/>
  <c r="AZ8" i="1"/>
  <c r="AV8" i="1"/>
  <c r="AX8" i="1" s="1"/>
  <c r="AU8" i="1"/>
  <c r="AL8" i="1"/>
  <c r="AO8" i="1" s="1"/>
  <c r="AT8" i="1" s="1"/>
  <c r="AK8" i="1"/>
  <c r="AN8" i="1" s="1"/>
  <c r="AS8" i="1" s="1"/>
  <c r="AJ8" i="1"/>
  <c r="AM8" i="1" s="1"/>
  <c r="AR8" i="1" s="1"/>
  <c r="AF8" i="1"/>
  <c r="AD8" i="1"/>
  <c r="AB8" i="1"/>
  <c r="S8" i="1"/>
  <c r="U8" i="1" s="1"/>
  <c r="BR7" i="1"/>
  <c r="BL7" i="1"/>
  <c r="BJ7" i="1"/>
  <c r="BD7" i="1"/>
  <c r="BF7" i="1" s="1"/>
  <c r="BB7" i="1"/>
  <c r="AZ7" i="1"/>
  <c r="AX7" i="1"/>
  <c r="AV7" i="1"/>
  <c r="AU7" i="1"/>
  <c r="AO7" i="1"/>
  <c r="AT7" i="1" s="1"/>
  <c r="AL7" i="1"/>
  <c r="AF7" i="1"/>
  <c r="AK7" i="1" s="1"/>
  <c r="AN7" i="1" s="1"/>
  <c r="AS7" i="1" s="1"/>
  <c r="AD7" i="1"/>
  <c r="AJ7" i="1" s="1"/>
  <c r="AM7" i="1" s="1"/>
  <c r="AR7" i="1" s="1"/>
  <c r="AB7" i="1"/>
  <c r="U7" i="1"/>
  <c r="S7" i="1"/>
  <c r="BJ6" i="1"/>
  <c r="BD6" i="1"/>
  <c r="BF6" i="1" s="1"/>
  <c r="AZ6" i="1"/>
  <c r="BB6" i="1" s="1"/>
  <c r="AX6" i="1"/>
  <c r="AV6" i="1"/>
  <c r="AU6" i="1"/>
  <c r="AL6" i="1"/>
  <c r="AO6" i="1" s="1"/>
  <c r="AT6" i="1" s="1"/>
  <c r="AF6" i="1"/>
  <c r="AK6" i="1" s="1"/>
  <c r="AN6" i="1" s="1"/>
  <c r="AS6" i="1" s="1"/>
  <c r="AD6" i="1"/>
  <c r="AJ6" i="1" s="1"/>
  <c r="AM6" i="1" s="1"/>
  <c r="AR6" i="1" s="1"/>
  <c r="AB6" i="1"/>
  <c r="U6" i="1"/>
  <c r="S6" i="1"/>
  <c r="BL6" i="1" s="1"/>
  <c r="BR6" i="1" s="1"/>
  <c r="BL5" i="1"/>
  <c r="BR5" i="1" s="1"/>
  <c r="BJ5" i="1"/>
  <c r="BD5" i="1"/>
  <c r="BF5" i="1" s="1"/>
  <c r="AZ5" i="1"/>
  <c r="BB5" i="1" s="1"/>
  <c r="AV5" i="1"/>
  <c r="AU5" i="1"/>
  <c r="AL5" i="1"/>
  <c r="AO5" i="1" s="1"/>
  <c r="AT5" i="1" s="1"/>
  <c r="AJ5" i="1"/>
  <c r="AM5" i="1" s="1"/>
  <c r="AR5" i="1" s="1"/>
  <c r="AF5" i="1"/>
  <c r="AK5" i="1" s="1"/>
  <c r="AN5" i="1" s="1"/>
  <c r="AS5" i="1" s="1"/>
  <c r="AD5" i="1"/>
  <c r="AB5" i="1"/>
  <c r="S5" i="1"/>
  <c r="U5" i="1" s="1"/>
  <c r="BL4" i="1"/>
  <c r="BR4" i="1" s="1"/>
  <c r="BJ4" i="1"/>
  <c r="BD4" i="1"/>
  <c r="BF4" i="1" s="1"/>
  <c r="BB4" i="1"/>
  <c r="AZ4" i="1"/>
  <c r="AX4" i="1"/>
  <c r="AV4" i="1"/>
  <c r="AU4" i="1"/>
  <c r="AL4" i="1"/>
  <c r="AO4" i="1" s="1"/>
  <c r="AT4" i="1" s="1"/>
  <c r="AF4" i="1"/>
  <c r="AK4" i="1" s="1"/>
  <c r="AN4" i="1" s="1"/>
  <c r="AS4" i="1" s="1"/>
  <c r="AD4" i="1"/>
  <c r="AJ4" i="1" s="1"/>
  <c r="AM4" i="1" s="1"/>
  <c r="AR4" i="1" s="1"/>
  <c r="AB4" i="1"/>
  <c r="S4" i="1"/>
  <c r="U4" i="1" s="1"/>
  <c r="BJ3" i="1"/>
  <c r="BD3" i="1"/>
  <c r="BF3" i="1" s="1"/>
  <c r="BB3" i="1"/>
  <c r="AX3" i="1"/>
  <c r="AU3" i="1"/>
  <c r="AN3" i="1"/>
  <c r="AS3" i="1" s="1"/>
  <c r="AM3" i="1"/>
  <c r="AR3" i="1" s="1"/>
  <c r="AL3" i="1"/>
  <c r="AO3" i="1" s="1"/>
  <c r="AT3" i="1" s="1"/>
  <c r="AK3" i="1"/>
  <c r="AJ3" i="1"/>
  <c r="S3" i="1"/>
  <c r="BL3" i="1" s="1"/>
  <c r="BR3" i="1" s="1"/>
  <c r="BJ2" i="1"/>
  <c r="BF2" i="1"/>
  <c r="BB2" i="1"/>
  <c r="AX2" i="1"/>
  <c r="AU2" i="1"/>
  <c r="AM2" i="1"/>
  <c r="AR2" i="1" s="1"/>
  <c r="AL2" i="1"/>
  <c r="AO2" i="1" s="1"/>
  <c r="AT2" i="1" s="1"/>
  <c r="AK2" i="1"/>
  <c r="AN2" i="1" s="1"/>
  <c r="AS2" i="1" s="1"/>
  <c r="AJ2" i="1"/>
  <c r="U2" i="1"/>
  <c r="S2" i="1"/>
  <c r="BL2" i="1" s="1"/>
  <c r="BR2" i="1" s="1"/>
  <c r="BN11" i="1" l="1"/>
  <c r="BT11" i="1" s="1"/>
  <c r="BX11" i="1" s="1"/>
  <c r="CD11" i="1" s="1"/>
  <c r="BM11" i="1"/>
  <c r="BS11" i="1" s="1"/>
  <c r="BN7" i="1"/>
  <c r="BT7" i="1" s="1"/>
  <c r="BM7" i="1"/>
  <c r="BS7" i="1" s="1"/>
  <c r="BX7" i="1" s="1"/>
  <c r="CD7" i="1" s="1"/>
  <c r="BN3" i="1"/>
  <c r="BT3" i="1" s="1"/>
  <c r="BM3" i="1"/>
  <c r="BS3" i="1" s="1"/>
  <c r="BN8" i="1"/>
  <c r="BT8" i="1" s="1"/>
  <c r="BM8" i="1"/>
  <c r="BS8" i="1" s="1"/>
  <c r="BX8" i="1" s="1"/>
  <c r="CD8" i="1" s="1"/>
  <c r="BN13" i="1"/>
  <c r="BT13" i="1" s="1"/>
  <c r="BM13" i="1"/>
  <c r="BS13" i="1" s="1"/>
  <c r="BX13" i="1" s="1"/>
  <c r="CD13" i="1" s="1"/>
  <c r="BX2" i="1"/>
  <c r="CD2" i="1" s="1"/>
  <c r="BX4" i="1"/>
  <c r="CD4" i="1" s="1"/>
  <c r="BN6" i="1"/>
  <c r="BT6" i="1" s="1"/>
  <c r="BM6" i="1"/>
  <c r="BS6" i="1" s="1"/>
  <c r="BX6" i="1" s="1"/>
  <c r="CD6" i="1" s="1"/>
  <c r="BN2" i="1"/>
  <c r="BT2" i="1" s="1"/>
  <c r="BM2" i="1"/>
  <c r="BS2" i="1" s="1"/>
  <c r="BN9" i="1"/>
  <c r="BT9" i="1" s="1"/>
  <c r="BM9" i="1"/>
  <c r="BS9" i="1" s="1"/>
  <c r="BX9" i="1" s="1"/>
  <c r="CD9" i="1" s="1"/>
  <c r="BN5" i="1"/>
  <c r="BT5" i="1" s="1"/>
  <c r="BM5" i="1"/>
  <c r="BS5" i="1" s="1"/>
  <c r="BX5" i="1" s="1"/>
  <c r="CD5" i="1" s="1"/>
  <c r="BM4" i="1"/>
  <c r="BS4" i="1" s="1"/>
  <c r="BN4" i="1"/>
  <c r="BT4" i="1" s="1"/>
  <c r="BN12" i="1"/>
  <c r="BT12" i="1" s="1"/>
  <c r="BM12" i="1"/>
  <c r="BS12" i="1" s="1"/>
  <c r="BX12" i="1" s="1"/>
  <c r="CD12" i="1" s="1"/>
  <c r="BN10" i="1"/>
  <c r="BT10" i="1" s="1"/>
  <c r="BX10" i="1" s="1"/>
  <c r="CD10" i="1" s="1"/>
  <c r="BM10" i="1"/>
  <c r="BS10" i="1" s="1"/>
  <c r="BX3" i="1"/>
  <c r="CD3" i="1" s="1"/>
  <c r="U9" i="1"/>
  <c r="U10" i="1"/>
  <c r="U3" i="1"/>
</calcChain>
</file>

<file path=xl/sharedStrings.xml><?xml version="1.0" encoding="utf-8"?>
<sst xmlns="http://schemas.openxmlformats.org/spreadsheetml/2006/main" count="222" uniqueCount="112">
  <si>
    <t xml:space="preserve">Game Level </t>
  </si>
  <si>
    <t>Task #</t>
  </si>
  <si>
    <t>Floor</t>
  </si>
  <si>
    <t>Room ID</t>
  </si>
  <si>
    <t>Room</t>
  </si>
  <si>
    <t>HotSpotID</t>
  </si>
  <si>
    <t>Source</t>
  </si>
  <si>
    <t>Destinations</t>
  </si>
  <si>
    <t>Points</t>
  </si>
  <si>
    <t>Image URL</t>
  </si>
  <si>
    <t>Animation /Video URLs</t>
  </si>
  <si>
    <t>Billing Period</t>
  </si>
  <si>
    <t>Bill date</t>
  </si>
  <si>
    <t>Due Date</t>
  </si>
  <si>
    <t>Discconnection Date</t>
  </si>
  <si>
    <t>Type</t>
  </si>
  <si>
    <t>Tarrif</t>
  </si>
  <si>
    <t>Contract Demand (KVA)</t>
  </si>
  <si>
    <t>90% of contract demand (KVA) or 85% of CD (KVA)</t>
  </si>
  <si>
    <t xml:space="preserve">Recorded Demand (KVA) </t>
  </si>
  <si>
    <t>Billing Demand (KVA)</t>
  </si>
  <si>
    <t>Wheeling Energy</t>
  </si>
  <si>
    <t>High cost Energy</t>
  </si>
  <si>
    <t>Special Energy</t>
  </si>
  <si>
    <t>Base consumption</t>
  </si>
  <si>
    <t>Power cut energy entitlment</t>
  </si>
  <si>
    <t>Demand Entitlment</t>
  </si>
  <si>
    <t>Present reading date</t>
  </si>
  <si>
    <t>Previous reading date</t>
  </si>
  <si>
    <t xml:space="preserve">Present KWH Meter reading </t>
  </si>
  <si>
    <t xml:space="preserve">Previous KWH Meter reading </t>
  </si>
  <si>
    <t xml:space="preserve">Present KVAH meter reading </t>
  </si>
  <si>
    <t xml:space="preserve">Previous KVAH meter reading </t>
  </si>
  <si>
    <t>Present MD meter reading</t>
  </si>
  <si>
    <t>Present PF Reading</t>
  </si>
  <si>
    <t>KWH meter reading difference</t>
  </si>
  <si>
    <t>KVAH meter reading difference</t>
  </si>
  <si>
    <t>MD meter reading difference</t>
  </si>
  <si>
    <t>Consumption (KWH meter)</t>
  </si>
  <si>
    <t>Consumption (KVAH meter)</t>
  </si>
  <si>
    <t>Consumption (MD meter)</t>
  </si>
  <si>
    <t>Less / Addl consumption (KWH meter)</t>
  </si>
  <si>
    <t>Less / Addl consumption (KVAH meter)</t>
  </si>
  <si>
    <t>Net Consumption (KWH meter)</t>
  </si>
  <si>
    <t>Net Consumption (KVAH meter)</t>
  </si>
  <si>
    <t>Net Consumption (MD meter)</t>
  </si>
  <si>
    <t>Net PF</t>
  </si>
  <si>
    <t>Present readings (morning peak)</t>
  </si>
  <si>
    <t>Previous  readings (morning peak)</t>
  </si>
  <si>
    <t>Consumption (morning Peak)</t>
  </si>
  <si>
    <t>MD reading (morning peak)</t>
  </si>
  <si>
    <t>Present   readings (normal)</t>
  </si>
  <si>
    <t>Previous  readings (normal)</t>
  </si>
  <si>
    <t>Consumption (normal)</t>
  </si>
  <si>
    <t>MD reading (normal)</t>
  </si>
  <si>
    <t>Present  readings (on peak)</t>
  </si>
  <si>
    <t>Previous  readings (on peak)</t>
  </si>
  <si>
    <t>Consumption (on peak)</t>
  </si>
  <si>
    <t>MD reading (on peak)</t>
  </si>
  <si>
    <t>Present  readings (off peak)</t>
  </si>
  <si>
    <t>Previous  readings (off peak)</t>
  </si>
  <si>
    <t>Consumption (off peak)</t>
  </si>
  <si>
    <t>MD reading (off peak)</t>
  </si>
  <si>
    <t>Demand Charges for(KVA)</t>
  </si>
  <si>
    <t>Energy charges for (KVA)</t>
  </si>
  <si>
    <t>Fuel  cost adjustment charges for (KVA)</t>
  </si>
  <si>
    <t>Demand Charge Rate (₹ / KVA)</t>
  </si>
  <si>
    <t>Energy Charge rate (₹ / KVA)</t>
  </si>
  <si>
    <t>Fuel cost adjustment rate (₹ / KVA)</t>
  </si>
  <si>
    <t>Demand charges (₹)</t>
  </si>
  <si>
    <t>Energy Charges (₹)</t>
  </si>
  <si>
    <t>Fuel cost adjustment charges  (₹)</t>
  </si>
  <si>
    <t>Interest on Revenue  (₹)</t>
  </si>
  <si>
    <t>Interest on Tax  (₹)</t>
  </si>
  <si>
    <t>Tax  (₹)</t>
  </si>
  <si>
    <t>Current bill amount  (₹)</t>
  </si>
  <si>
    <t>Arrears   (₹)</t>
  </si>
  <si>
    <t>Bill correction  (₹)</t>
  </si>
  <si>
    <t>Bill rounding adjustment  (₹)</t>
  </si>
  <si>
    <t>Interest on ISD/ASD (IOD)  (₹)</t>
  </si>
  <si>
    <t>TDS on IOD  (₹)</t>
  </si>
  <si>
    <t>Net payable amount  (₹)</t>
  </si>
  <si>
    <t>Net payable amount in words</t>
  </si>
  <si>
    <t>L1</t>
  </si>
  <si>
    <t>T02</t>
  </si>
  <si>
    <t>GF</t>
  </si>
  <si>
    <t>Z15</t>
  </si>
  <si>
    <t>Server Room</t>
  </si>
  <si>
    <t>L1_T02_GF_Z15_H001</t>
  </si>
  <si>
    <t>On Click</t>
  </si>
  <si>
    <t>Pop-up, Notebook</t>
  </si>
  <si>
    <t>01/12/2024 - 01/01/2025</t>
  </si>
  <si>
    <t>HT2b</t>
  </si>
  <si>
    <t>1HT2B</t>
  </si>
  <si>
    <t>Anitha to generate this</t>
  </si>
  <si>
    <t>01/11/2024 - 01/12/2024</t>
  </si>
  <si>
    <t>01/10/2024 - 01/11/2024</t>
  </si>
  <si>
    <t>01/09/2024 - 01/10/2024</t>
  </si>
  <si>
    <t>01/08/2024 - 01/09/2024</t>
  </si>
  <si>
    <t>01/07/2024 - 01/08/2024</t>
  </si>
  <si>
    <t xml:space="preserve"> 01-08-2024</t>
  </si>
  <si>
    <t>01/06/2024 - 01/07/2024</t>
  </si>
  <si>
    <t xml:space="preserve"> 01-07-2024</t>
  </si>
  <si>
    <t>01/05/2024 - 01/06/2024</t>
  </si>
  <si>
    <t xml:space="preserve"> 01-06-2024</t>
  </si>
  <si>
    <t>01/04/2024 - 01/05/2024</t>
  </si>
  <si>
    <t>01/03/2024 - 01/04/2024</t>
  </si>
  <si>
    <t xml:space="preserve"> 01-04-2024</t>
  </si>
  <si>
    <t>01/02/2024 - 01/03/2024</t>
  </si>
  <si>
    <t xml:space="preserve"> 01-03-2024</t>
  </si>
  <si>
    <t>01/01/2024 - 01/02/2024</t>
  </si>
  <si>
    <t>30-02-2024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</si>
</sst>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1" x14ac:knownFonts="1">
    <font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b/>
      <sz val="11"/>
      <color theme="1"/>
      <name val="Aptos Narrow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Calibri"/>
    </font>
    <font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6D01"/>
        <bgColor rgb="FFFF6D01"/>
      </patternFill>
    </fill>
    <fill>
      <patternFill patternType="solid">
        <fgColor theme="5"/>
        <bgColor theme="5"/>
      </patternFill>
    </fill>
    <fill>
      <patternFill patternType="solid">
        <fgColor rgb="FFCAEDFB"/>
        <bgColor rgb="FFCAEDFB"/>
      </patternFill>
    </fill>
    <fill>
      <patternFill patternType="solid">
        <fgColor theme="4"/>
        <bgColor theme="4"/>
      </patternFill>
    </fill>
    <fill>
      <patternFill patternType="solid">
        <fgColor rgb="FF0B769F"/>
        <bgColor rgb="FF0B769F"/>
      </patternFill>
    </fill>
    <fill>
      <patternFill patternType="solid">
        <fgColor rgb="FFFFC000"/>
        <bgColor rgb="FFFFC000"/>
      </patternFill>
    </fill>
    <fill>
      <patternFill patternType="solid">
        <fgColor rgb="FFC1F0C8"/>
        <bgColor rgb="FFC1F0C8"/>
      </patternFill>
    </fill>
    <fill>
      <patternFill patternType="solid">
        <fgColor rgb="FFF1CEEE"/>
        <bgColor rgb="FFF1CEEE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2" fillId="3" borderId="2" xfId="0" applyFont="1" applyFill="1" applyBorder="1"/>
    <xf numFmtId="0" fontId="3" fillId="4" borderId="3" xfId="0" applyFont="1" applyFill="1" applyBorder="1"/>
    <xf numFmtId="0" fontId="3" fillId="4" borderId="3" xfId="0" applyFont="1" applyFill="1" applyBorder="1" applyAlignment="1">
      <alignment horizontal="left"/>
    </xf>
    <xf numFmtId="0" fontId="3" fillId="4" borderId="3" xfId="0" applyFont="1" applyFill="1" applyBorder="1" applyAlignment="1">
      <alignment horizontal="left" wrapText="1"/>
    </xf>
    <xf numFmtId="0" fontId="3" fillId="5" borderId="3" xfId="0" applyFont="1" applyFill="1" applyBorder="1" applyAlignment="1">
      <alignment horizontal="left" wrapText="1"/>
    </xf>
    <xf numFmtId="0" fontId="3" fillId="6" borderId="3" xfId="0" applyFont="1" applyFill="1" applyBorder="1" applyAlignment="1">
      <alignment wrapText="1"/>
    </xf>
    <xf numFmtId="0" fontId="3" fillId="7" borderId="3" xfId="0" applyFont="1" applyFill="1" applyBorder="1" applyAlignment="1">
      <alignment horizontal="left" wrapText="1"/>
    </xf>
    <xf numFmtId="0" fontId="3" fillId="7" borderId="3" xfId="0" applyFont="1" applyFill="1" applyBorder="1" applyAlignment="1">
      <alignment wrapText="1"/>
    </xf>
    <xf numFmtId="0" fontId="3" fillId="8" borderId="3" xfId="0" applyFont="1" applyFill="1" applyBorder="1" applyAlignment="1">
      <alignment wrapText="1"/>
    </xf>
    <xf numFmtId="0" fontId="3" fillId="9" borderId="3" xfId="0" applyFont="1" applyFill="1" applyBorder="1" applyAlignment="1">
      <alignment wrapText="1"/>
    </xf>
    <xf numFmtId="0" fontId="4" fillId="10" borderId="1" xfId="0" applyFont="1" applyFill="1" applyBorder="1"/>
    <xf numFmtId="0" fontId="5" fillId="0" borderId="4" xfId="0" applyFont="1" applyBorder="1" applyAlignment="1">
      <alignment wrapText="1"/>
    </xf>
    <xf numFmtId="0" fontId="5" fillId="0" borderId="0" xfId="0" applyFont="1" applyAlignment="1">
      <alignment wrapText="1"/>
    </xf>
    <xf numFmtId="0" fontId="6" fillId="11" borderId="0" xfId="0" applyFont="1" applyFill="1"/>
    <xf numFmtId="0" fontId="6" fillId="11" borderId="0" xfId="0" applyFont="1" applyFill="1" applyAlignment="1">
      <alignment horizontal="left"/>
    </xf>
    <xf numFmtId="0" fontId="7" fillId="11" borderId="1" xfId="0" applyFont="1" applyFill="1" applyBorder="1"/>
    <xf numFmtId="14" fontId="7" fillId="11" borderId="1" xfId="0" applyNumberFormat="1" applyFont="1" applyFill="1" applyBorder="1" applyAlignment="1">
      <alignment horizontal="left"/>
    </xf>
    <xf numFmtId="0" fontId="7" fillId="11" borderId="1" xfId="0" applyFont="1" applyFill="1" applyBorder="1" applyAlignment="1">
      <alignment wrapText="1"/>
    </xf>
    <xf numFmtId="164" fontId="7" fillId="11" borderId="1" xfId="0" applyNumberFormat="1" applyFont="1" applyFill="1" applyBorder="1"/>
    <xf numFmtId="165" fontId="7" fillId="11" borderId="1" xfId="0" applyNumberFormat="1" applyFont="1" applyFill="1" applyBorder="1"/>
    <xf numFmtId="2" fontId="7" fillId="11" borderId="1" xfId="0" applyNumberFormat="1" applyFont="1" applyFill="1" applyBorder="1"/>
    <xf numFmtId="0" fontId="8" fillId="11" borderId="1" xfId="0" applyFont="1" applyFill="1" applyBorder="1"/>
    <xf numFmtId="0" fontId="7" fillId="11" borderId="1" xfId="0" applyFont="1" applyFill="1" applyBorder="1" applyAlignment="1">
      <alignment horizontal="left"/>
    </xf>
    <xf numFmtId="164" fontId="8" fillId="11" borderId="1" xfId="0" applyNumberFormat="1" applyFont="1" applyFill="1" applyBorder="1"/>
    <xf numFmtId="2" fontId="8" fillId="11" borderId="1" xfId="0" applyNumberFormat="1" applyFont="1" applyFill="1" applyBorder="1"/>
    <xf numFmtId="0" fontId="4" fillId="10" borderId="1" xfId="0" applyFont="1" applyFill="1" applyBorder="1" applyAlignment="1">
      <alignment wrapText="1"/>
    </xf>
    <xf numFmtId="0" fontId="4" fillId="10" borderId="5" xfId="0" applyFont="1" applyFill="1" applyBorder="1" applyAlignment="1">
      <alignment wrapText="1"/>
    </xf>
    <xf numFmtId="0" fontId="7" fillId="12" borderId="5" xfId="0" applyFont="1" applyFill="1" applyBorder="1"/>
    <xf numFmtId="0" fontId="7" fillId="12" borderId="6" xfId="0" applyFont="1" applyFill="1" applyBorder="1"/>
    <xf numFmtId="0" fontId="7" fillId="12" borderId="6" xfId="0" applyFont="1" applyFill="1" applyBorder="1" applyAlignment="1">
      <alignment horizontal="left"/>
    </xf>
    <xf numFmtId="0" fontId="7" fillId="12" borderId="6" xfId="0" applyFont="1" applyFill="1" applyBorder="1" applyAlignment="1">
      <alignment wrapText="1"/>
    </xf>
    <xf numFmtId="164" fontId="7" fillId="12" borderId="6" xfId="0" applyNumberFormat="1" applyFont="1" applyFill="1" applyBorder="1"/>
    <xf numFmtId="2" fontId="7" fillId="12" borderId="6" xfId="0" applyNumberFormat="1" applyFont="1" applyFill="1" applyBorder="1"/>
    <xf numFmtId="0" fontId="7" fillId="12" borderId="1" xfId="0" applyFont="1" applyFill="1" applyBorder="1"/>
    <xf numFmtId="0" fontId="7" fillId="12" borderId="1" xfId="0" applyFont="1" applyFill="1" applyBorder="1" applyAlignment="1">
      <alignment horizontal="left"/>
    </xf>
    <xf numFmtId="0" fontId="7" fillId="12" borderId="1" xfId="0" applyFont="1" applyFill="1" applyBorder="1" applyAlignment="1">
      <alignment wrapText="1"/>
    </xf>
    <xf numFmtId="164" fontId="7" fillId="12" borderId="1" xfId="0" applyNumberFormat="1" applyFont="1" applyFill="1" applyBorder="1"/>
    <xf numFmtId="2" fontId="7" fillId="12" borderId="1" xfId="0" applyNumberFormat="1" applyFont="1" applyFill="1" applyBorder="1"/>
    <xf numFmtId="0" fontId="6" fillId="10" borderId="1" xfId="0" applyFont="1" applyFill="1" applyBorder="1" applyAlignment="1">
      <alignment wrapText="1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wrapText="1"/>
    </xf>
    <xf numFmtId="0" fontId="9" fillId="10" borderId="1" xfId="0" applyFont="1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9" fillId="0" borderId="1" xfId="0" applyFont="1" applyBorder="1"/>
    <xf numFmtId="0" fontId="7" fillId="10" borderId="1" xfId="0" applyFont="1" applyFill="1" applyBorder="1"/>
    <xf numFmtId="0" fontId="7" fillId="10" borderId="1" xfId="0" applyFont="1" applyFill="1" applyBorder="1" applyAlignment="1">
      <alignment horizontal="left"/>
    </xf>
    <xf numFmtId="0" fontId="7" fillId="10" borderId="1" xfId="0" applyFont="1" applyFill="1" applyBorder="1" applyAlignment="1">
      <alignment wrapText="1"/>
    </xf>
    <xf numFmtId="0" fontId="10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300"/>
  <sheetViews>
    <sheetView tabSelected="1" workbookViewId="0">
      <selection activeCell="F12" sqref="F12"/>
    </sheetView>
  </sheetViews>
  <sheetFormatPr defaultColWidth="12.5703125" defaultRowHeight="15" customHeight="1" x14ac:dyDescent="0.25"/>
  <cols>
    <col min="1" max="1" width="12.5703125" customWidth="1"/>
    <col min="2" max="2" width="10.7109375" customWidth="1"/>
    <col min="3" max="3" width="12.140625" customWidth="1"/>
    <col min="4" max="4" width="11" customWidth="1"/>
    <col min="5" max="5" width="12.7109375" customWidth="1"/>
    <col min="6" max="6" width="20.140625" customWidth="1"/>
    <col min="7" max="7" width="10.7109375" customWidth="1"/>
    <col min="8" max="8" width="19.140625" customWidth="1"/>
    <col min="9" max="9" width="10.42578125" customWidth="1"/>
    <col min="10" max="10" width="14.140625" customWidth="1"/>
    <col min="11" max="11" width="25" customWidth="1"/>
    <col min="12" max="12" width="23.5703125" customWidth="1"/>
    <col min="13" max="14" width="11.5703125" customWidth="1"/>
    <col min="15" max="17" width="16.7109375" customWidth="1"/>
    <col min="18" max="19" width="13.85546875" customWidth="1"/>
    <col min="20" max="24" width="11.42578125" customWidth="1"/>
    <col min="25" max="25" width="14.140625" customWidth="1"/>
    <col min="26" max="27" width="11.42578125" customWidth="1"/>
    <col min="28" max="28" width="12.85546875" customWidth="1"/>
    <col min="29" max="29" width="13.85546875" customWidth="1"/>
    <col min="30" max="30" width="15" customWidth="1"/>
    <col min="31" max="31" width="17.140625" customWidth="1"/>
    <col min="32" max="32" width="13.140625" customWidth="1"/>
    <col min="33" max="33" width="12.7109375" customWidth="1"/>
    <col min="34" max="34" width="14.7109375" customWidth="1"/>
    <col min="35" max="35" width="11.140625" customWidth="1"/>
    <col min="36" max="36" width="17.140625" customWidth="1"/>
    <col min="37" max="37" width="18.28515625" customWidth="1"/>
    <col min="38" max="38" width="12.85546875" customWidth="1"/>
    <col min="39" max="39" width="19.7109375" customWidth="1"/>
    <col min="40" max="40" width="17.85546875" customWidth="1"/>
    <col min="41" max="41" width="12.42578125" customWidth="1"/>
    <col min="42" max="42" width="15.28515625" customWidth="1"/>
    <col min="43" max="43" width="15.42578125" customWidth="1"/>
    <col min="44" max="44" width="17.28515625" customWidth="1"/>
    <col min="45" max="45" width="18.140625" customWidth="1"/>
    <col min="46" max="46" width="16" customWidth="1"/>
    <col min="47" max="47" width="10.42578125" customWidth="1"/>
    <col min="48" max="49" width="22.140625" customWidth="1"/>
    <col min="50" max="50" width="17.42578125" customWidth="1"/>
    <col min="51" max="51" width="16.28515625" customWidth="1"/>
    <col min="52" max="52" width="14.85546875" customWidth="1"/>
    <col min="53" max="53" width="17.140625" customWidth="1"/>
    <col min="54" max="54" width="15.7109375" customWidth="1"/>
    <col min="55" max="55" width="15.140625" customWidth="1"/>
    <col min="56" max="56" width="16.42578125" customWidth="1"/>
    <col min="57" max="57" width="15.140625" customWidth="1"/>
    <col min="58" max="58" width="19.85546875" customWidth="1"/>
    <col min="59" max="59" width="17.140625" customWidth="1"/>
    <col min="60" max="60" width="19.42578125" customWidth="1"/>
    <col min="61" max="61" width="19.28515625" customWidth="1"/>
    <col min="62" max="62" width="18.42578125" customWidth="1"/>
    <col min="63" max="63" width="22.5703125" customWidth="1"/>
    <col min="64" max="64" width="15.85546875" customWidth="1"/>
    <col min="65" max="65" width="17.42578125" customWidth="1"/>
    <col min="66" max="66" width="19.42578125" customWidth="1"/>
    <col min="67" max="67" width="15.7109375" customWidth="1"/>
    <col min="68" max="68" width="15.85546875" customWidth="1"/>
    <col min="69" max="69" width="14.140625" customWidth="1"/>
    <col min="70" max="71" width="17.42578125" customWidth="1"/>
    <col min="72" max="72" width="14.85546875" customWidth="1"/>
    <col min="73" max="73" width="11.85546875" customWidth="1"/>
    <col min="74" max="74" width="17.5703125" customWidth="1"/>
    <col min="75" max="75" width="12.140625" customWidth="1"/>
    <col min="76" max="76" width="14.42578125" customWidth="1"/>
    <col min="77" max="77" width="11" customWidth="1"/>
    <col min="78" max="78" width="19.28515625" customWidth="1"/>
    <col min="79" max="79" width="13.5703125" customWidth="1"/>
    <col min="80" max="80" width="14.140625" customWidth="1"/>
    <col min="81" max="81" width="11.42578125" customWidth="1"/>
    <col min="82" max="82" width="16.5703125" customWidth="1"/>
    <col min="83" max="83" width="35.42578125" customWidth="1"/>
  </cols>
  <sheetData>
    <row r="1" spans="1:83" ht="55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10" t="s">
        <v>27</v>
      </c>
      <c r="AC1" s="10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1" t="s">
        <v>41</v>
      </c>
      <c r="AQ1" s="11" t="s">
        <v>42</v>
      </c>
      <c r="AR1" s="11" t="s">
        <v>43</v>
      </c>
      <c r="AS1" s="11" t="s">
        <v>44</v>
      </c>
      <c r="AT1" s="11" t="s">
        <v>45</v>
      </c>
      <c r="AU1" s="11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2" t="s">
        <v>60</v>
      </c>
      <c r="BJ1" s="12" t="s">
        <v>61</v>
      </c>
      <c r="BK1" s="12" t="s">
        <v>62</v>
      </c>
      <c r="BL1" s="13" t="s">
        <v>63</v>
      </c>
      <c r="BM1" s="13" t="s">
        <v>64</v>
      </c>
      <c r="BN1" s="13" t="s">
        <v>65</v>
      </c>
      <c r="BO1" s="13" t="s">
        <v>66</v>
      </c>
      <c r="BP1" s="13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13" t="s">
        <v>81</v>
      </c>
      <c r="CE1" s="13" t="s">
        <v>82</v>
      </c>
    </row>
    <row r="2" spans="1:83" ht="14.25" customHeight="1" x14ac:dyDescent="0.25">
      <c r="A2" s="14" t="s">
        <v>83</v>
      </c>
      <c r="B2" s="14" t="s">
        <v>84</v>
      </c>
      <c r="C2" s="14" t="s">
        <v>85</v>
      </c>
      <c r="D2" s="14" t="s">
        <v>86</v>
      </c>
      <c r="E2" s="14" t="s">
        <v>87</v>
      </c>
      <c r="F2" s="15" t="s">
        <v>88</v>
      </c>
      <c r="G2" s="16" t="s">
        <v>89</v>
      </c>
      <c r="H2" s="17" t="s">
        <v>90</v>
      </c>
      <c r="I2" s="18">
        <v>5</v>
      </c>
      <c r="J2" s="18"/>
      <c r="K2" s="18"/>
      <c r="L2" s="19" t="s">
        <v>91</v>
      </c>
      <c r="M2" s="20">
        <v>45658</v>
      </c>
      <c r="N2" s="20">
        <v>45672</v>
      </c>
      <c r="O2" s="20">
        <v>45688</v>
      </c>
      <c r="P2" s="20" t="s">
        <v>92</v>
      </c>
      <c r="Q2" s="20" t="s">
        <v>93</v>
      </c>
      <c r="R2" s="19">
        <v>125</v>
      </c>
      <c r="S2" s="19">
        <f t="shared" ref="S2:S10" si="0">0.904*R2</f>
        <v>113</v>
      </c>
      <c r="T2" s="21">
        <v>44</v>
      </c>
      <c r="U2" s="21">
        <f t="shared" ref="U2:U13" si="1">S2</f>
        <v>113</v>
      </c>
      <c r="V2" s="21">
        <v>0</v>
      </c>
      <c r="W2" s="21">
        <v>0</v>
      </c>
      <c r="X2" s="21">
        <v>0</v>
      </c>
      <c r="Y2" s="21">
        <v>0</v>
      </c>
      <c r="Z2" s="21">
        <v>0</v>
      </c>
      <c r="AA2" s="21">
        <v>0</v>
      </c>
      <c r="AB2" s="20">
        <v>45658</v>
      </c>
      <c r="AC2" s="20">
        <v>45627</v>
      </c>
      <c r="AD2" s="22">
        <v>9605.8095699999994</v>
      </c>
      <c r="AE2" s="22">
        <v>9543.20507</v>
      </c>
      <c r="AF2" s="22">
        <v>9879.8945309999999</v>
      </c>
      <c r="AG2" s="22">
        <v>9813.6748050000006</v>
      </c>
      <c r="AH2" s="23">
        <v>0.29580000000000001</v>
      </c>
      <c r="AI2" s="19">
        <v>0.94</v>
      </c>
      <c r="AJ2" s="22">
        <f t="shared" ref="AJ2:AJ13" si="2">AD2-AE2</f>
        <v>62.604499999999462</v>
      </c>
      <c r="AK2" s="22">
        <f t="shared" ref="AK2:AK13" si="3">AF2-AG2</f>
        <v>66.219725999999355</v>
      </c>
      <c r="AL2" s="23">
        <f t="shared" ref="AL2:AL13" si="4">AH2</f>
        <v>0.29580000000000001</v>
      </c>
      <c r="AM2" s="22">
        <f t="shared" ref="AM2:AO2" si="5">AJ2*150</f>
        <v>9390.6749999999192</v>
      </c>
      <c r="AN2" s="22">
        <f t="shared" si="5"/>
        <v>9932.9588999999032</v>
      </c>
      <c r="AO2" s="23">
        <f t="shared" si="5"/>
        <v>44.370000000000005</v>
      </c>
      <c r="AP2" s="22">
        <v>0</v>
      </c>
      <c r="AQ2" s="22">
        <v>0</v>
      </c>
      <c r="AR2" s="22">
        <f t="shared" ref="AR2:AS2" si="6">AM2+AP2</f>
        <v>9390.6749999999192</v>
      </c>
      <c r="AS2" s="22">
        <f t="shared" si="6"/>
        <v>9932.9588999999032</v>
      </c>
      <c r="AT2" s="23">
        <f t="shared" ref="AT2:AT13" si="7">AO2</f>
        <v>44.370000000000005</v>
      </c>
      <c r="AU2" s="19">
        <f t="shared" ref="AU2:AU13" si="8">AI2</f>
        <v>0.94</v>
      </c>
      <c r="AV2" s="22">
        <v>1758</v>
      </c>
      <c r="AW2" s="22">
        <v>1744.13501</v>
      </c>
      <c r="AX2" s="22">
        <f t="shared" ref="AX2:AX4" si="9">(AV2-AW2)*150</f>
        <v>2079.7485000000052</v>
      </c>
      <c r="AY2" s="22">
        <v>12.389999</v>
      </c>
      <c r="AZ2" s="22">
        <v>6235</v>
      </c>
      <c r="BA2" s="22">
        <v>6196.9150390000004</v>
      </c>
      <c r="BB2" s="22">
        <f t="shared" ref="BB2:BB13" si="10">(AZ2-BA2)*150</f>
        <v>5712.744149999935</v>
      </c>
      <c r="BC2" s="22">
        <v>44.369999</v>
      </c>
      <c r="BD2" s="22">
        <v>1612.8000489999999</v>
      </c>
      <c r="BE2" s="22">
        <v>1602.1450199999999</v>
      </c>
      <c r="BF2" s="22">
        <f t="shared" ref="BF2:BF12" si="11">(BD2-BE2)*150</f>
        <v>1598.254350000002</v>
      </c>
      <c r="BG2" s="22">
        <v>38.489998</v>
      </c>
      <c r="BH2" s="22">
        <v>0</v>
      </c>
      <c r="BI2" s="22">
        <v>0</v>
      </c>
      <c r="BJ2" s="22">
        <f t="shared" ref="BJ2:BJ13" si="12">(BH2-BI2)*150</f>
        <v>0</v>
      </c>
      <c r="BK2" s="22">
        <v>0</v>
      </c>
      <c r="BL2" s="19">
        <f t="shared" ref="BL2:BL11" si="13">S2</f>
        <v>113</v>
      </c>
      <c r="BM2" s="22">
        <f t="shared" ref="BM2:BM13" si="14">AR2</f>
        <v>9390.6749999999192</v>
      </c>
      <c r="BN2" s="22">
        <f t="shared" ref="BN2:BN13" si="15">AR2</f>
        <v>9390.6749999999192</v>
      </c>
      <c r="BO2" s="24">
        <v>365</v>
      </c>
      <c r="BP2" s="24">
        <v>8</v>
      </c>
      <c r="BQ2" s="24">
        <v>0.16</v>
      </c>
      <c r="BR2" s="24">
        <f t="shared" ref="BR2:BT2" si="16">BL2*BO2</f>
        <v>41245</v>
      </c>
      <c r="BS2" s="24">
        <f t="shared" si="16"/>
        <v>75125.399999999354</v>
      </c>
      <c r="BT2" s="24">
        <f t="shared" si="16"/>
        <v>1502.5079999999871</v>
      </c>
      <c r="BU2" s="24">
        <v>0</v>
      </c>
      <c r="BV2" s="24">
        <v>0</v>
      </c>
      <c r="BW2" s="24">
        <v>6761.28</v>
      </c>
      <c r="BX2" s="24">
        <f t="shared" ref="BX2:BX13" si="17">SUM(BQ2:BW2)</f>
        <v>124634.34799999934</v>
      </c>
      <c r="BY2" s="24">
        <v>0</v>
      </c>
      <c r="BZ2" s="24">
        <v>0</v>
      </c>
      <c r="CA2" s="24"/>
      <c r="CB2" s="24"/>
      <c r="CC2" s="24"/>
      <c r="CD2" s="24">
        <f t="shared" ref="CD2:CD9" si="18">SUM(BX2:CC2)</f>
        <v>124634.34799999934</v>
      </c>
      <c r="CE2" s="25" t="s">
        <v>94</v>
      </c>
    </row>
    <row r="3" spans="1:83" ht="14.25" customHeight="1" x14ac:dyDescent="0.25">
      <c r="A3" s="14" t="s">
        <v>83</v>
      </c>
      <c r="B3" s="14" t="s">
        <v>84</v>
      </c>
      <c r="C3" s="14" t="s">
        <v>85</v>
      </c>
      <c r="D3" s="14" t="s">
        <v>86</v>
      </c>
      <c r="E3" s="14" t="s">
        <v>87</v>
      </c>
      <c r="F3" s="15" t="s">
        <v>88</v>
      </c>
      <c r="G3" s="16" t="s">
        <v>89</v>
      </c>
      <c r="H3" s="17" t="s">
        <v>90</v>
      </c>
      <c r="I3" s="18">
        <v>0</v>
      </c>
      <c r="J3" s="18"/>
      <c r="K3" s="18"/>
      <c r="L3" s="19" t="s">
        <v>95</v>
      </c>
      <c r="M3" s="20">
        <v>45627</v>
      </c>
      <c r="N3" s="20">
        <v>45641</v>
      </c>
      <c r="O3" s="20">
        <v>45657</v>
      </c>
      <c r="P3" s="20" t="s">
        <v>92</v>
      </c>
      <c r="Q3" s="20" t="s">
        <v>93</v>
      </c>
      <c r="R3" s="19">
        <v>125</v>
      </c>
      <c r="S3" s="19">
        <f t="shared" si="0"/>
        <v>113</v>
      </c>
      <c r="T3" s="21">
        <v>49</v>
      </c>
      <c r="U3" s="21">
        <f t="shared" si="1"/>
        <v>113</v>
      </c>
      <c r="V3" s="21">
        <v>0</v>
      </c>
      <c r="W3" s="21">
        <v>0</v>
      </c>
      <c r="X3" s="21">
        <v>0</v>
      </c>
      <c r="Y3" s="21">
        <v>0</v>
      </c>
      <c r="Z3" s="21">
        <v>0</v>
      </c>
      <c r="AA3" s="21">
        <v>0</v>
      </c>
      <c r="AB3" s="20">
        <v>45627</v>
      </c>
      <c r="AC3" s="20">
        <v>45597</v>
      </c>
      <c r="AD3" s="22">
        <v>9543.20507</v>
      </c>
      <c r="AE3" s="22">
        <v>9474.3447269999997</v>
      </c>
      <c r="AF3" s="22">
        <v>9813.6748050000006</v>
      </c>
      <c r="AG3" s="22">
        <v>9741.4853519999997</v>
      </c>
      <c r="AH3" s="23">
        <v>0.3266</v>
      </c>
      <c r="AI3" s="19">
        <v>0.95</v>
      </c>
      <c r="AJ3" s="22">
        <f t="shared" si="2"/>
        <v>68.860343000000285</v>
      </c>
      <c r="AK3" s="22">
        <f t="shared" si="3"/>
        <v>72.189453000000867</v>
      </c>
      <c r="AL3" s="23">
        <f t="shared" si="4"/>
        <v>0.3266</v>
      </c>
      <c r="AM3" s="22">
        <f t="shared" ref="AM3:AO3" si="19">AJ3*150</f>
        <v>10329.051450000043</v>
      </c>
      <c r="AN3" s="22">
        <f t="shared" si="19"/>
        <v>10828.41795000013</v>
      </c>
      <c r="AO3" s="23">
        <f t="shared" si="19"/>
        <v>48.99</v>
      </c>
      <c r="AP3" s="22">
        <v>0</v>
      </c>
      <c r="AQ3" s="22">
        <v>0</v>
      </c>
      <c r="AR3" s="22">
        <f t="shared" ref="AR3:AS3" si="20">AM3+AP3</f>
        <v>10329.051450000043</v>
      </c>
      <c r="AS3" s="22">
        <f t="shared" si="20"/>
        <v>10828.41795000013</v>
      </c>
      <c r="AT3" s="23">
        <f t="shared" si="7"/>
        <v>48.99</v>
      </c>
      <c r="AU3" s="19">
        <f t="shared" si="8"/>
        <v>0.95</v>
      </c>
      <c r="AV3" s="22">
        <v>1744.13501</v>
      </c>
      <c r="AW3" s="22">
        <v>1730.910034</v>
      </c>
      <c r="AX3" s="22">
        <f t="shared" si="9"/>
        <v>1983.7463999999954</v>
      </c>
      <c r="AY3" s="22">
        <v>15.72</v>
      </c>
      <c r="AZ3" s="22">
        <v>6196.9150390000004</v>
      </c>
      <c r="BA3" s="22">
        <v>6152.1899409999996</v>
      </c>
      <c r="BB3" s="22">
        <f t="shared" si="10"/>
        <v>6708.7647000001198</v>
      </c>
      <c r="BC3" s="22">
        <v>48.989998</v>
      </c>
      <c r="BD3" s="22">
        <f t="shared" ref="BD3:BD12" si="21">BE2</f>
        <v>1602.1450199999999</v>
      </c>
      <c r="BE3" s="22">
        <v>1591.2349850000001</v>
      </c>
      <c r="BF3" s="22">
        <f t="shared" si="11"/>
        <v>1636.505249999982</v>
      </c>
      <c r="BG3" s="22">
        <v>34.080002</v>
      </c>
      <c r="BH3" s="22">
        <v>0</v>
      </c>
      <c r="BI3" s="22">
        <v>0</v>
      </c>
      <c r="BJ3" s="22">
        <f t="shared" si="12"/>
        <v>0</v>
      </c>
      <c r="BK3" s="22">
        <v>0</v>
      </c>
      <c r="BL3" s="19">
        <f t="shared" si="13"/>
        <v>113</v>
      </c>
      <c r="BM3" s="22">
        <f t="shared" si="14"/>
        <v>10329.051450000043</v>
      </c>
      <c r="BN3" s="22">
        <f t="shared" si="15"/>
        <v>10329.051450000043</v>
      </c>
      <c r="BO3" s="24">
        <v>365</v>
      </c>
      <c r="BP3" s="24">
        <v>8</v>
      </c>
      <c r="BQ3" s="24">
        <v>0</v>
      </c>
      <c r="BR3" s="24">
        <f t="shared" ref="BR3:BT3" si="22">BL3*BO3</f>
        <v>41245</v>
      </c>
      <c r="BS3" s="24">
        <f t="shared" si="22"/>
        <v>82632.411600000341</v>
      </c>
      <c r="BT3" s="24">
        <f t="shared" si="22"/>
        <v>0</v>
      </c>
      <c r="BU3" s="24">
        <v>100</v>
      </c>
      <c r="BV3" s="24">
        <v>0</v>
      </c>
      <c r="BW3" s="24">
        <v>7436.92</v>
      </c>
      <c r="BX3" s="24">
        <f t="shared" si="17"/>
        <v>131414.33160000035</v>
      </c>
      <c r="BY3" s="24">
        <v>0</v>
      </c>
      <c r="BZ3" s="24">
        <v>0</v>
      </c>
      <c r="CA3" s="24"/>
      <c r="CB3" s="24"/>
      <c r="CC3" s="24"/>
      <c r="CD3" s="24">
        <f t="shared" si="18"/>
        <v>131414.33160000035</v>
      </c>
      <c r="CE3" s="19"/>
    </row>
    <row r="4" spans="1:83" ht="14.25" customHeight="1" x14ac:dyDescent="0.25">
      <c r="A4" s="14" t="s">
        <v>83</v>
      </c>
      <c r="B4" s="14" t="s">
        <v>84</v>
      </c>
      <c r="C4" s="14" t="s">
        <v>85</v>
      </c>
      <c r="D4" s="14" t="s">
        <v>86</v>
      </c>
      <c r="E4" s="14" t="s">
        <v>87</v>
      </c>
      <c r="F4" s="15" t="s">
        <v>88</v>
      </c>
      <c r="G4" s="16" t="s">
        <v>89</v>
      </c>
      <c r="H4" s="17" t="s">
        <v>90</v>
      </c>
      <c r="I4" s="18">
        <v>0</v>
      </c>
      <c r="J4" s="18"/>
      <c r="K4" s="18"/>
      <c r="L4" s="19" t="s">
        <v>96</v>
      </c>
      <c r="M4" s="20">
        <v>45597</v>
      </c>
      <c r="N4" s="20">
        <v>45611</v>
      </c>
      <c r="O4" s="20">
        <v>45626</v>
      </c>
      <c r="P4" s="20" t="s">
        <v>92</v>
      </c>
      <c r="Q4" s="20" t="s">
        <v>93</v>
      </c>
      <c r="R4" s="19">
        <v>125</v>
      </c>
      <c r="S4" s="19">
        <f t="shared" si="0"/>
        <v>113</v>
      </c>
      <c r="T4" s="21">
        <v>45</v>
      </c>
      <c r="U4" s="21">
        <f t="shared" si="1"/>
        <v>113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</v>
      </c>
      <c r="AB4" s="20">
        <f t="shared" ref="AB4:AB13" si="23">AC3</f>
        <v>45597</v>
      </c>
      <c r="AC4" s="20">
        <v>45566</v>
      </c>
      <c r="AD4" s="22">
        <f t="shared" ref="AD4:AD13" si="24">AE3</f>
        <v>9474.3447269999997</v>
      </c>
      <c r="AE4" s="22">
        <v>9400.82</v>
      </c>
      <c r="AF4" s="22">
        <f t="shared" ref="AF4:AF13" si="25">AG3</f>
        <v>9741.4853519999997</v>
      </c>
      <c r="AG4" s="22">
        <v>9665.1904300000006</v>
      </c>
      <c r="AH4" s="23">
        <v>0.30159999999999998</v>
      </c>
      <c r="AI4" s="19">
        <v>0.96</v>
      </c>
      <c r="AJ4" s="22">
        <f t="shared" si="2"/>
        <v>73.524726999999984</v>
      </c>
      <c r="AK4" s="22">
        <f t="shared" si="3"/>
        <v>76.294921999999133</v>
      </c>
      <c r="AL4" s="23">
        <f t="shared" si="4"/>
        <v>0.30159999999999998</v>
      </c>
      <c r="AM4" s="22">
        <f t="shared" ref="AM4:AO4" si="26">AJ4*150</f>
        <v>11028.709049999998</v>
      </c>
      <c r="AN4" s="22">
        <f t="shared" si="26"/>
        <v>11444.23829999987</v>
      </c>
      <c r="AO4" s="23">
        <f t="shared" si="26"/>
        <v>45.239999999999995</v>
      </c>
      <c r="AP4" s="22">
        <v>0</v>
      </c>
      <c r="AQ4" s="22">
        <v>0</v>
      </c>
      <c r="AR4" s="22">
        <f t="shared" ref="AR4:AS4" si="27">AM4+AP4</f>
        <v>11028.709049999998</v>
      </c>
      <c r="AS4" s="22">
        <f t="shared" si="27"/>
        <v>11444.23829999987</v>
      </c>
      <c r="AT4" s="23">
        <f t="shared" si="7"/>
        <v>45.239999999999995</v>
      </c>
      <c r="AU4" s="19">
        <f t="shared" si="8"/>
        <v>0.96</v>
      </c>
      <c r="AV4" s="22">
        <f t="shared" ref="AV4:AV12" si="28">AW3</f>
        <v>1730.910034</v>
      </c>
      <c r="AW4" s="22">
        <v>1716.994995</v>
      </c>
      <c r="AX4" s="22">
        <f t="shared" si="9"/>
        <v>2087.2558499999968</v>
      </c>
      <c r="AY4" s="22">
        <v>12.81</v>
      </c>
      <c r="AZ4" s="22">
        <f t="shared" ref="AZ4:AZ12" si="29">BA3</f>
        <v>6152.1899409999996</v>
      </c>
      <c r="BA4" s="22">
        <v>6103.9702150000003</v>
      </c>
      <c r="BB4" s="22">
        <f t="shared" si="10"/>
        <v>7232.9588999999032</v>
      </c>
      <c r="BC4" s="22">
        <v>45.240001999999997</v>
      </c>
      <c r="BD4" s="22">
        <f t="shared" si="21"/>
        <v>1591.2349850000001</v>
      </c>
      <c r="BE4" s="22">
        <v>1579.9499510000001</v>
      </c>
      <c r="BF4" s="22">
        <f t="shared" si="11"/>
        <v>1692.7550999999994</v>
      </c>
      <c r="BG4" s="22">
        <v>29.549999</v>
      </c>
      <c r="BH4" s="22">
        <v>0</v>
      </c>
      <c r="BI4" s="22">
        <v>0</v>
      </c>
      <c r="BJ4" s="22">
        <f t="shared" si="12"/>
        <v>0</v>
      </c>
      <c r="BK4" s="22">
        <v>0</v>
      </c>
      <c r="BL4" s="19">
        <f t="shared" si="13"/>
        <v>113</v>
      </c>
      <c r="BM4" s="22">
        <f t="shared" si="14"/>
        <v>11028.709049999998</v>
      </c>
      <c r="BN4" s="22">
        <f t="shared" si="15"/>
        <v>11028.709049999998</v>
      </c>
      <c r="BO4" s="24">
        <v>365</v>
      </c>
      <c r="BP4" s="24">
        <v>8</v>
      </c>
      <c r="BQ4" s="24">
        <v>0.24</v>
      </c>
      <c r="BR4" s="24">
        <f t="shared" ref="BR4:BS4" si="30">BL4*BO4</f>
        <v>41245</v>
      </c>
      <c r="BS4" s="24">
        <f t="shared" si="30"/>
        <v>88229.672399999981</v>
      </c>
      <c r="BT4" s="24">
        <f t="shared" ref="BT4:BT5" si="31">-BN4*BQ4</f>
        <v>-2646.8901719999994</v>
      </c>
      <c r="BU4" s="24">
        <v>100</v>
      </c>
      <c r="BV4" s="24">
        <v>0</v>
      </c>
      <c r="BW4" s="24">
        <v>7929.35</v>
      </c>
      <c r="BX4" s="24">
        <f t="shared" si="17"/>
        <v>134857.37222799996</v>
      </c>
      <c r="BY4" s="24">
        <v>1000</v>
      </c>
      <c r="BZ4" s="24">
        <v>0</v>
      </c>
      <c r="CA4" s="24"/>
      <c r="CB4" s="24"/>
      <c r="CC4" s="24"/>
      <c r="CD4" s="24">
        <f t="shared" si="18"/>
        <v>135857.37222799996</v>
      </c>
      <c r="CE4" s="19"/>
    </row>
    <row r="5" spans="1:83" ht="14.25" customHeight="1" x14ac:dyDescent="0.25">
      <c r="A5" s="14" t="s">
        <v>83</v>
      </c>
      <c r="B5" s="14" t="s">
        <v>84</v>
      </c>
      <c r="C5" s="14" t="s">
        <v>85</v>
      </c>
      <c r="D5" s="14" t="s">
        <v>86</v>
      </c>
      <c r="E5" s="14" t="s">
        <v>87</v>
      </c>
      <c r="F5" s="15" t="s">
        <v>88</v>
      </c>
      <c r="G5" s="16" t="s">
        <v>89</v>
      </c>
      <c r="H5" s="17" t="s">
        <v>90</v>
      </c>
      <c r="I5" s="18">
        <v>0</v>
      </c>
      <c r="J5" s="18"/>
      <c r="K5" s="18"/>
      <c r="L5" s="19" t="s">
        <v>97</v>
      </c>
      <c r="M5" s="20">
        <v>45566</v>
      </c>
      <c r="N5" s="20">
        <v>45580</v>
      </c>
      <c r="O5" s="20">
        <v>45596</v>
      </c>
      <c r="P5" s="20" t="s">
        <v>92</v>
      </c>
      <c r="Q5" s="20" t="s">
        <v>93</v>
      </c>
      <c r="R5" s="19">
        <v>125</v>
      </c>
      <c r="S5" s="19">
        <f t="shared" si="0"/>
        <v>113</v>
      </c>
      <c r="T5" s="21">
        <v>55</v>
      </c>
      <c r="U5" s="21">
        <f t="shared" si="1"/>
        <v>113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0">
        <f t="shared" si="23"/>
        <v>45566</v>
      </c>
      <c r="AC5" s="20">
        <v>45536</v>
      </c>
      <c r="AD5" s="22">
        <f t="shared" si="24"/>
        <v>9400.82</v>
      </c>
      <c r="AE5" s="22">
        <v>9320.64</v>
      </c>
      <c r="AF5" s="22">
        <f t="shared" si="25"/>
        <v>9665.1904300000006</v>
      </c>
      <c r="AG5" s="22">
        <v>9582.4040000000005</v>
      </c>
      <c r="AH5" s="23">
        <v>0.38700000000000001</v>
      </c>
      <c r="AI5" s="19">
        <v>0.96</v>
      </c>
      <c r="AJ5" s="22">
        <f t="shared" si="2"/>
        <v>80.180000000000291</v>
      </c>
      <c r="AK5" s="22">
        <f t="shared" si="3"/>
        <v>82.786430000000109</v>
      </c>
      <c r="AL5" s="23">
        <f t="shared" si="4"/>
        <v>0.38700000000000001</v>
      </c>
      <c r="AM5" s="22">
        <f t="shared" ref="AM5:AO5" si="32">AJ5*150</f>
        <v>12027.000000000044</v>
      </c>
      <c r="AN5" s="22">
        <f t="shared" si="32"/>
        <v>12417.964500000016</v>
      </c>
      <c r="AO5" s="23">
        <f t="shared" si="32"/>
        <v>58.050000000000004</v>
      </c>
      <c r="AP5" s="22">
        <v>0</v>
      </c>
      <c r="AQ5" s="22">
        <v>0</v>
      </c>
      <c r="AR5" s="22">
        <f t="shared" ref="AR5:AS5" si="33">AM5+AP5</f>
        <v>12027.000000000044</v>
      </c>
      <c r="AS5" s="22">
        <f t="shared" si="33"/>
        <v>12417.964500000016</v>
      </c>
      <c r="AT5" s="23">
        <f t="shared" si="7"/>
        <v>58.050000000000004</v>
      </c>
      <c r="AU5" s="19">
        <f t="shared" si="8"/>
        <v>0.96</v>
      </c>
      <c r="AV5" s="22">
        <f t="shared" si="28"/>
        <v>1716.994995</v>
      </c>
      <c r="AW5" s="22">
        <v>0</v>
      </c>
      <c r="AX5" s="22">
        <v>0</v>
      </c>
      <c r="AY5" s="22">
        <v>0</v>
      </c>
      <c r="AZ5" s="22">
        <f t="shared" si="29"/>
        <v>6103.9702150000003</v>
      </c>
      <c r="BA5" s="22">
        <v>0</v>
      </c>
      <c r="BB5" s="22">
        <f t="shared" si="10"/>
        <v>915595.53225000005</v>
      </c>
      <c r="BC5" s="22">
        <v>0</v>
      </c>
      <c r="BD5" s="22">
        <f t="shared" si="21"/>
        <v>1579.9499510000001</v>
      </c>
      <c r="BE5" s="22">
        <v>0</v>
      </c>
      <c r="BF5" s="22">
        <f t="shared" si="11"/>
        <v>236992.49265</v>
      </c>
      <c r="BG5" s="22">
        <v>0</v>
      </c>
      <c r="BH5" s="22">
        <v>0</v>
      </c>
      <c r="BI5" s="22">
        <v>0</v>
      </c>
      <c r="BJ5" s="22">
        <f t="shared" si="12"/>
        <v>0</v>
      </c>
      <c r="BK5" s="22">
        <v>0</v>
      </c>
      <c r="BL5" s="19">
        <f t="shared" si="13"/>
        <v>113</v>
      </c>
      <c r="BM5" s="22">
        <f t="shared" si="14"/>
        <v>12027.000000000044</v>
      </c>
      <c r="BN5" s="22">
        <f t="shared" si="15"/>
        <v>12027.000000000044</v>
      </c>
      <c r="BO5" s="24">
        <v>365</v>
      </c>
      <c r="BP5" s="24">
        <v>8</v>
      </c>
      <c r="BQ5" s="24">
        <v>0.26</v>
      </c>
      <c r="BR5" s="24">
        <f t="shared" ref="BR5:BS5" si="34">BL5*BO5</f>
        <v>41245</v>
      </c>
      <c r="BS5" s="24">
        <f t="shared" si="34"/>
        <v>96216.000000000349</v>
      </c>
      <c r="BT5" s="24">
        <f t="shared" si="31"/>
        <v>-3127.0200000000114</v>
      </c>
      <c r="BU5" s="24">
        <v>0</v>
      </c>
      <c r="BV5" s="24">
        <v>0</v>
      </c>
      <c r="BW5" s="24">
        <v>8670.24</v>
      </c>
      <c r="BX5" s="24">
        <f t="shared" si="17"/>
        <v>143004.48000000033</v>
      </c>
      <c r="BY5" s="24">
        <v>0</v>
      </c>
      <c r="BZ5" s="24">
        <v>0</v>
      </c>
      <c r="CA5" s="24"/>
      <c r="CB5" s="24"/>
      <c r="CC5" s="24"/>
      <c r="CD5" s="24">
        <f t="shared" si="18"/>
        <v>143004.48000000033</v>
      </c>
      <c r="CE5" s="19"/>
    </row>
    <row r="6" spans="1:83" ht="14.25" customHeight="1" x14ac:dyDescent="0.25">
      <c r="A6" s="14" t="s">
        <v>83</v>
      </c>
      <c r="B6" s="14" t="s">
        <v>84</v>
      </c>
      <c r="C6" s="14" t="s">
        <v>85</v>
      </c>
      <c r="D6" s="14" t="s">
        <v>86</v>
      </c>
      <c r="E6" s="14" t="s">
        <v>87</v>
      </c>
      <c r="F6" s="15" t="s">
        <v>88</v>
      </c>
      <c r="G6" s="16" t="s">
        <v>89</v>
      </c>
      <c r="H6" s="17" t="s">
        <v>90</v>
      </c>
      <c r="I6" s="18">
        <v>0</v>
      </c>
      <c r="J6" s="18"/>
      <c r="K6" s="18"/>
      <c r="L6" s="19" t="s">
        <v>98</v>
      </c>
      <c r="M6" s="20">
        <v>45536</v>
      </c>
      <c r="N6" s="20">
        <v>45550</v>
      </c>
      <c r="O6" s="20">
        <v>45565</v>
      </c>
      <c r="P6" s="20" t="s">
        <v>92</v>
      </c>
      <c r="Q6" s="20" t="s">
        <v>93</v>
      </c>
      <c r="R6" s="19">
        <v>125</v>
      </c>
      <c r="S6" s="19">
        <f t="shared" si="0"/>
        <v>113</v>
      </c>
      <c r="T6" s="21">
        <v>62</v>
      </c>
      <c r="U6" s="21">
        <f t="shared" si="1"/>
        <v>113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0">
        <f t="shared" si="23"/>
        <v>45536</v>
      </c>
      <c r="AC6" s="20">
        <v>45505</v>
      </c>
      <c r="AD6" s="22">
        <f t="shared" si="24"/>
        <v>9320.64</v>
      </c>
      <c r="AE6" s="22">
        <v>9237.15</v>
      </c>
      <c r="AF6" s="22">
        <f t="shared" si="25"/>
        <v>9582.4040000000005</v>
      </c>
      <c r="AG6" s="22">
        <v>9495.86</v>
      </c>
      <c r="AH6" s="23">
        <v>0.41499999999999998</v>
      </c>
      <c r="AI6" s="19">
        <v>0.96</v>
      </c>
      <c r="AJ6" s="22">
        <f t="shared" si="2"/>
        <v>83.489999999999782</v>
      </c>
      <c r="AK6" s="22">
        <f t="shared" si="3"/>
        <v>86.543999999999869</v>
      </c>
      <c r="AL6" s="23">
        <f t="shared" si="4"/>
        <v>0.41499999999999998</v>
      </c>
      <c r="AM6" s="22">
        <f t="shared" ref="AM6:AO6" si="35">AJ6*150</f>
        <v>12523.499999999967</v>
      </c>
      <c r="AN6" s="22">
        <f t="shared" si="35"/>
        <v>12981.59999999998</v>
      </c>
      <c r="AO6" s="23">
        <f t="shared" si="35"/>
        <v>62.25</v>
      </c>
      <c r="AP6" s="22">
        <v>0</v>
      </c>
      <c r="AQ6" s="22">
        <v>0</v>
      </c>
      <c r="AR6" s="22">
        <f t="shared" ref="AR6:AS6" si="36">AM6+AP6</f>
        <v>12523.499999999967</v>
      </c>
      <c r="AS6" s="22">
        <f t="shared" si="36"/>
        <v>12981.59999999998</v>
      </c>
      <c r="AT6" s="23">
        <f t="shared" si="7"/>
        <v>62.25</v>
      </c>
      <c r="AU6" s="19">
        <f t="shared" si="8"/>
        <v>0.96</v>
      </c>
      <c r="AV6" s="22">
        <f t="shared" si="28"/>
        <v>0</v>
      </c>
      <c r="AW6" s="22">
        <v>0</v>
      </c>
      <c r="AX6" s="22">
        <f t="shared" ref="AX6:AX13" si="37">(AV6-AW6)*150</f>
        <v>0</v>
      </c>
      <c r="AY6" s="22">
        <v>0</v>
      </c>
      <c r="AZ6" s="22">
        <f t="shared" si="29"/>
        <v>0</v>
      </c>
      <c r="BA6" s="22">
        <v>0</v>
      </c>
      <c r="BB6" s="22">
        <f t="shared" si="10"/>
        <v>0</v>
      </c>
      <c r="BC6" s="22">
        <v>0</v>
      </c>
      <c r="BD6" s="22">
        <f t="shared" si="21"/>
        <v>0</v>
      </c>
      <c r="BE6" s="22"/>
      <c r="BF6" s="22">
        <f t="shared" si="11"/>
        <v>0</v>
      </c>
      <c r="BG6" s="22">
        <v>0</v>
      </c>
      <c r="BH6" s="22">
        <v>0</v>
      </c>
      <c r="BI6" s="22">
        <v>0</v>
      </c>
      <c r="BJ6" s="22">
        <f t="shared" si="12"/>
        <v>0</v>
      </c>
      <c r="BK6" s="22">
        <v>0</v>
      </c>
      <c r="BL6" s="19">
        <f t="shared" si="13"/>
        <v>113</v>
      </c>
      <c r="BM6" s="22">
        <f t="shared" si="14"/>
        <v>12523.499999999967</v>
      </c>
      <c r="BN6" s="22">
        <f t="shared" si="15"/>
        <v>12523.499999999967</v>
      </c>
      <c r="BO6" s="24">
        <v>365</v>
      </c>
      <c r="BP6" s="24">
        <v>8</v>
      </c>
      <c r="BQ6" s="24">
        <v>0.25</v>
      </c>
      <c r="BR6" s="24">
        <f t="shared" ref="BR6:BT6" si="38">BL6*BO6</f>
        <v>41245</v>
      </c>
      <c r="BS6" s="24">
        <f t="shared" si="38"/>
        <v>100187.99999999974</v>
      </c>
      <c r="BT6" s="24">
        <f t="shared" si="38"/>
        <v>3130.8749999999918</v>
      </c>
      <c r="BU6" s="24">
        <v>0</v>
      </c>
      <c r="BV6" s="24">
        <v>0</v>
      </c>
      <c r="BW6" s="24">
        <v>9016.92</v>
      </c>
      <c r="BX6" s="24">
        <f t="shared" si="17"/>
        <v>153581.04499999975</v>
      </c>
      <c r="BY6" s="24">
        <v>0</v>
      </c>
      <c r="BZ6" s="24">
        <v>0</v>
      </c>
      <c r="CA6" s="24"/>
      <c r="CB6" s="24"/>
      <c r="CC6" s="24"/>
      <c r="CD6" s="24">
        <f t="shared" si="18"/>
        <v>153581.04499999975</v>
      </c>
      <c r="CE6" s="19"/>
    </row>
    <row r="7" spans="1:83" ht="14.25" customHeight="1" x14ac:dyDescent="0.25">
      <c r="A7" s="14" t="s">
        <v>83</v>
      </c>
      <c r="B7" s="14" t="s">
        <v>84</v>
      </c>
      <c r="C7" s="14" t="s">
        <v>85</v>
      </c>
      <c r="D7" s="14" t="s">
        <v>86</v>
      </c>
      <c r="E7" s="14" t="s">
        <v>87</v>
      </c>
      <c r="F7" s="15" t="s">
        <v>88</v>
      </c>
      <c r="G7" s="16" t="s">
        <v>89</v>
      </c>
      <c r="H7" s="17" t="s">
        <v>90</v>
      </c>
      <c r="I7" s="18">
        <v>0</v>
      </c>
      <c r="J7" s="18"/>
      <c r="K7" s="18"/>
      <c r="L7" s="19" t="s">
        <v>99</v>
      </c>
      <c r="M7" s="26" t="s">
        <v>100</v>
      </c>
      <c r="N7" s="20">
        <v>45519</v>
      </c>
      <c r="O7" s="20">
        <v>45534</v>
      </c>
      <c r="P7" s="20" t="s">
        <v>92</v>
      </c>
      <c r="Q7" s="20" t="s">
        <v>93</v>
      </c>
      <c r="R7" s="19">
        <v>125</v>
      </c>
      <c r="S7" s="19">
        <f t="shared" si="0"/>
        <v>113</v>
      </c>
      <c r="T7" s="21">
        <v>55</v>
      </c>
      <c r="U7" s="21">
        <f t="shared" si="1"/>
        <v>113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0">
        <f t="shared" si="23"/>
        <v>45505</v>
      </c>
      <c r="AC7" s="20">
        <v>45474</v>
      </c>
      <c r="AD7" s="22">
        <f t="shared" si="24"/>
        <v>9237.15</v>
      </c>
      <c r="AE7" s="22">
        <v>9157.4</v>
      </c>
      <c r="AF7" s="22">
        <f t="shared" si="25"/>
        <v>9495.86</v>
      </c>
      <c r="AG7" s="22">
        <v>9413.14</v>
      </c>
      <c r="AH7" s="23">
        <v>0.36699999999999999</v>
      </c>
      <c r="AI7" s="19">
        <v>0.96</v>
      </c>
      <c r="AJ7" s="22">
        <f t="shared" si="2"/>
        <v>79.75</v>
      </c>
      <c r="AK7" s="22">
        <f t="shared" si="3"/>
        <v>82.720000000001164</v>
      </c>
      <c r="AL7" s="23">
        <f t="shared" si="4"/>
        <v>0.36699999999999999</v>
      </c>
      <c r="AM7" s="22">
        <f t="shared" ref="AM7:AO7" si="39">AJ7*150</f>
        <v>11962.5</v>
      </c>
      <c r="AN7" s="22">
        <f t="shared" si="39"/>
        <v>12408.000000000175</v>
      </c>
      <c r="AO7" s="23">
        <f t="shared" si="39"/>
        <v>55.05</v>
      </c>
      <c r="AP7" s="22">
        <v>0</v>
      </c>
      <c r="AQ7" s="22">
        <v>0</v>
      </c>
      <c r="AR7" s="22">
        <f t="shared" ref="AR7:AS7" si="40">AM7+AP7</f>
        <v>11962.5</v>
      </c>
      <c r="AS7" s="22">
        <f t="shared" si="40"/>
        <v>12408.000000000175</v>
      </c>
      <c r="AT7" s="23">
        <f t="shared" si="7"/>
        <v>55.05</v>
      </c>
      <c r="AU7" s="19">
        <f t="shared" si="8"/>
        <v>0.96</v>
      </c>
      <c r="AV7" s="22">
        <f t="shared" si="28"/>
        <v>0</v>
      </c>
      <c r="AW7" s="22">
        <v>0</v>
      </c>
      <c r="AX7" s="22">
        <f t="shared" si="37"/>
        <v>0</v>
      </c>
      <c r="AY7" s="22">
        <v>0</v>
      </c>
      <c r="AZ7" s="22">
        <f t="shared" si="29"/>
        <v>0</v>
      </c>
      <c r="BA7" s="22">
        <v>0</v>
      </c>
      <c r="BB7" s="22">
        <f t="shared" si="10"/>
        <v>0</v>
      </c>
      <c r="BC7" s="22">
        <v>0</v>
      </c>
      <c r="BD7" s="22">
        <f t="shared" si="21"/>
        <v>0</v>
      </c>
      <c r="BE7" s="22">
        <v>0</v>
      </c>
      <c r="BF7" s="22">
        <f t="shared" si="11"/>
        <v>0</v>
      </c>
      <c r="BG7" s="22">
        <v>0</v>
      </c>
      <c r="BH7" s="22">
        <v>0</v>
      </c>
      <c r="BI7" s="22">
        <v>0</v>
      </c>
      <c r="BJ7" s="22">
        <f t="shared" si="12"/>
        <v>0</v>
      </c>
      <c r="BK7" s="22">
        <v>0</v>
      </c>
      <c r="BL7" s="19">
        <f t="shared" si="13"/>
        <v>113</v>
      </c>
      <c r="BM7" s="22">
        <f t="shared" si="14"/>
        <v>11962.5</v>
      </c>
      <c r="BN7" s="22">
        <f t="shared" si="15"/>
        <v>11962.5</v>
      </c>
      <c r="BO7" s="24">
        <v>365</v>
      </c>
      <c r="BP7" s="24">
        <v>8</v>
      </c>
      <c r="BQ7" s="24">
        <v>0.2</v>
      </c>
      <c r="BR7" s="24">
        <f t="shared" ref="BR7:BT7" si="41">BL7*BO7</f>
        <v>41245</v>
      </c>
      <c r="BS7" s="24">
        <f t="shared" si="41"/>
        <v>95700</v>
      </c>
      <c r="BT7" s="24">
        <f t="shared" si="41"/>
        <v>2392.5</v>
      </c>
      <c r="BU7" s="24">
        <v>0</v>
      </c>
      <c r="BV7" s="24">
        <v>0</v>
      </c>
      <c r="BW7" s="24">
        <v>8613</v>
      </c>
      <c r="BX7" s="24">
        <f t="shared" si="17"/>
        <v>147950.70000000001</v>
      </c>
      <c r="BY7" s="24">
        <v>0</v>
      </c>
      <c r="BZ7" s="24">
        <v>0</v>
      </c>
      <c r="CA7" s="24"/>
      <c r="CB7" s="24"/>
      <c r="CC7" s="24"/>
      <c r="CD7" s="24">
        <f t="shared" si="18"/>
        <v>147950.70000000001</v>
      </c>
      <c r="CE7" s="19"/>
    </row>
    <row r="8" spans="1:83" ht="14.25" customHeight="1" x14ac:dyDescent="0.25">
      <c r="A8" s="14" t="s">
        <v>83</v>
      </c>
      <c r="B8" s="14" t="s">
        <v>84</v>
      </c>
      <c r="C8" s="14" t="s">
        <v>85</v>
      </c>
      <c r="D8" s="14" t="s">
        <v>86</v>
      </c>
      <c r="E8" s="14" t="s">
        <v>87</v>
      </c>
      <c r="F8" s="15" t="s">
        <v>88</v>
      </c>
      <c r="G8" s="16" t="s">
        <v>89</v>
      </c>
      <c r="H8" s="17" t="s">
        <v>90</v>
      </c>
      <c r="I8" s="18">
        <v>0</v>
      </c>
      <c r="J8" s="18"/>
      <c r="K8" s="18"/>
      <c r="L8" s="19" t="s">
        <v>101</v>
      </c>
      <c r="M8" s="20" t="s">
        <v>102</v>
      </c>
      <c r="N8" s="20">
        <v>45488</v>
      </c>
      <c r="O8" s="20">
        <v>45503</v>
      </c>
      <c r="P8" s="20" t="s">
        <v>92</v>
      </c>
      <c r="Q8" s="20" t="s">
        <v>93</v>
      </c>
      <c r="R8" s="19">
        <v>125</v>
      </c>
      <c r="S8" s="19">
        <f t="shared" si="0"/>
        <v>113</v>
      </c>
      <c r="T8" s="21">
        <v>61</v>
      </c>
      <c r="U8" s="21">
        <f t="shared" si="1"/>
        <v>113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0">
        <f t="shared" si="23"/>
        <v>45474</v>
      </c>
      <c r="AC8" s="20">
        <v>45444</v>
      </c>
      <c r="AD8" s="22">
        <f t="shared" si="24"/>
        <v>9157.4</v>
      </c>
      <c r="AE8" s="22">
        <v>9072.59</v>
      </c>
      <c r="AF8" s="22">
        <f t="shared" si="25"/>
        <v>9413.14</v>
      </c>
      <c r="AG8" s="22">
        <v>9325.2900000000009</v>
      </c>
      <c r="AH8" s="23">
        <v>0.40400000000000003</v>
      </c>
      <c r="AI8" s="19">
        <v>0.96</v>
      </c>
      <c r="AJ8" s="22">
        <f t="shared" si="2"/>
        <v>84.809999999999491</v>
      </c>
      <c r="AK8" s="22">
        <f t="shared" si="3"/>
        <v>87.849999999998545</v>
      </c>
      <c r="AL8" s="23">
        <f t="shared" si="4"/>
        <v>0.40400000000000003</v>
      </c>
      <c r="AM8" s="22">
        <f t="shared" ref="AM8:AO8" si="42">AJ8*150</f>
        <v>12721.499999999924</v>
      </c>
      <c r="AN8" s="22">
        <f t="shared" si="42"/>
        <v>13177.499999999782</v>
      </c>
      <c r="AO8" s="23">
        <f t="shared" si="42"/>
        <v>60.6</v>
      </c>
      <c r="AP8" s="22">
        <v>0</v>
      </c>
      <c r="AQ8" s="22">
        <v>0</v>
      </c>
      <c r="AR8" s="22">
        <f t="shared" ref="AR8:AS8" si="43">AM8+AP8</f>
        <v>12721.499999999924</v>
      </c>
      <c r="AS8" s="22">
        <f t="shared" si="43"/>
        <v>13177.499999999782</v>
      </c>
      <c r="AT8" s="23">
        <f t="shared" si="7"/>
        <v>60.6</v>
      </c>
      <c r="AU8" s="19">
        <f t="shared" si="8"/>
        <v>0.96</v>
      </c>
      <c r="AV8" s="22">
        <f t="shared" si="28"/>
        <v>0</v>
      </c>
      <c r="AW8" s="22">
        <v>0</v>
      </c>
      <c r="AX8" s="22">
        <f t="shared" si="37"/>
        <v>0</v>
      </c>
      <c r="AY8" s="22">
        <v>0</v>
      </c>
      <c r="AZ8" s="22">
        <f t="shared" si="29"/>
        <v>0</v>
      </c>
      <c r="BA8" s="22">
        <v>0</v>
      </c>
      <c r="BB8" s="22">
        <f t="shared" si="10"/>
        <v>0</v>
      </c>
      <c r="BC8" s="22">
        <v>0</v>
      </c>
      <c r="BD8" s="22">
        <f t="shared" si="21"/>
        <v>0</v>
      </c>
      <c r="BE8" s="22">
        <v>0</v>
      </c>
      <c r="BF8" s="22">
        <f t="shared" si="11"/>
        <v>0</v>
      </c>
      <c r="BG8" s="22">
        <v>0</v>
      </c>
      <c r="BH8" s="22">
        <v>0</v>
      </c>
      <c r="BI8" s="22">
        <v>0</v>
      </c>
      <c r="BJ8" s="22">
        <f t="shared" si="12"/>
        <v>0</v>
      </c>
      <c r="BK8" s="22">
        <v>0</v>
      </c>
      <c r="BL8" s="19">
        <f t="shared" si="13"/>
        <v>113</v>
      </c>
      <c r="BM8" s="22">
        <f t="shared" si="14"/>
        <v>12721.499999999924</v>
      </c>
      <c r="BN8" s="22">
        <f t="shared" si="15"/>
        <v>12721.499999999924</v>
      </c>
      <c r="BO8" s="24">
        <v>365</v>
      </c>
      <c r="BP8" s="24">
        <v>8</v>
      </c>
      <c r="BQ8" s="24">
        <v>0.09</v>
      </c>
      <c r="BR8" s="24">
        <f t="shared" ref="BR8:BT8" si="44">BL8*BO8</f>
        <v>41245</v>
      </c>
      <c r="BS8" s="24">
        <f t="shared" si="44"/>
        <v>101771.99999999939</v>
      </c>
      <c r="BT8" s="24">
        <f t="shared" si="44"/>
        <v>1144.9349999999931</v>
      </c>
      <c r="BU8" s="24">
        <v>0</v>
      </c>
      <c r="BV8" s="24">
        <v>0</v>
      </c>
      <c r="BW8" s="24">
        <v>9159.48</v>
      </c>
      <c r="BX8" s="24">
        <f t="shared" si="17"/>
        <v>153321.50499999939</v>
      </c>
      <c r="BY8" s="24">
        <v>0</v>
      </c>
      <c r="BZ8" s="24">
        <v>0</v>
      </c>
      <c r="CA8" s="24"/>
      <c r="CB8" s="24"/>
      <c r="CC8" s="24"/>
      <c r="CD8" s="24">
        <f t="shared" si="18"/>
        <v>153321.50499999939</v>
      </c>
      <c r="CE8" s="19"/>
    </row>
    <row r="9" spans="1:83" ht="14.25" customHeight="1" x14ac:dyDescent="0.25">
      <c r="A9" s="14" t="s">
        <v>83</v>
      </c>
      <c r="B9" s="14" t="s">
        <v>84</v>
      </c>
      <c r="C9" s="14" t="s">
        <v>85</v>
      </c>
      <c r="D9" s="14" t="s">
        <v>86</v>
      </c>
      <c r="E9" s="14" t="s">
        <v>87</v>
      </c>
      <c r="F9" s="15" t="s">
        <v>88</v>
      </c>
      <c r="G9" s="16" t="s">
        <v>89</v>
      </c>
      <c r="H9" s="17" t="s">
        <v>90</v>
      </c>
      <c r="I9" s="18">
        <v>0</v>
      </c>
      <c r="J9" s="18"/>
      <c r="K9" s="18"/>
      <c r="L9" s="19" t="s">
        <v>103</v>
      </c>
      <c r="M9" s="26" t="s">
        <v>104</v>
      </c>
      <c r="N9" s="20">
        <v>45458</v>
      </c>
      <c r="O9" s="20">
        <v>45473</v>
      </c>
      <c r="P9" s="20" t="s">
        <v>92</v>
      </c>
      <c r="Q9" s="20" t="s">
        <v>93</v>
      </c>
      <c r="R9" s="19">
        <v>125</v>
      </c>
      <c r="S9" s="19">
        <f t="shared" si="0"/>
        <v>113</v>
      </c>
      <c r="T9" s="21">
        <v>89</v>
      </c>
      <c r="U9" s="21">
        <f t="shared" si="1"/>
        <v>113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0">
        <f t="shared" si="23"/>
        <v>45444</v>
      </c>
      <c r="AC9" s="20">
        <v>45413</v>
      </c>
      <c r="AD9" s="22">
        <f t="shared" si="24"/>
        <v>9072.59</v>
      </c>
      <c r="AE9" s="22">
        <v>8953.9550780000009</v>
      </c>
      <c r="AF9" s="22">
        <f t="shared" si="25"/>
        <v>9325.2900000000009</v>
      </c>
      <c r="AG9" s="22">
        <v>9204.0400389999995</v>
      </c>
      <c r="AH9" s="23">
        <v>0.59499999999999997</v>
      </c>
      <c r="AI9" s="19">
        <v>0.98</v>
      </c>
      <c r="AJ9" s="22">
        <f t="shared" si="2"/>
        <v>118.63492199999928</v>
      </c>
      <c r="AK9" s="22">
        <f t="shared" si="3"/>
        <v>121.24996100000135</v>
      </c>
      <c r="AL9" s="23">
        <f t="shared" si="4"/>
        <v>0.59499999999999997</v>
      </c>
      <c r="AM9" s="22">
        <f t="shared" ref="AM9:AO9" si="45">AJ9*150</f>
        <v>17795.238299999892</v>
      </c>
      <c r="AN9" s="22">
        <f t="shared" si="45"/>
        <v>18187.494150000202</v>
      </c>
      <c r="AO9" s="23">
        <f t="shared" si="45"/>
        <v>89.25</v>
      </c>
      <c r="AP9" s="22">
        <v>0</v>
      </c>
      <c r="AQ9" s="22">
        <v>0</v>
      </c>
      <c r="AR9" s="22">
        <f t="shared" ref="AR9:AS9" si="46">AM9+AP9</f>
        <v>17795.238299999892</v>
      </c>
      <c r="AS9" s="22">
        <f t="shared" si="46"/>
        <v>18187.494150000202</v>
      </c>
      <c r="AT9" s="23">
        <f t="shared" si="7"/>
        <v>89.25</v>
      </c>
      <c r="AU9" s="19">
        <f t="shared" si="8"/>
        <v>0.98</v>
      </c>
      <c r="AV9" s="22">
        <f t="shared" si="28"/>
        <v>0</v>
      </c>
      <c r="AW9" s="22">
        <v>1646.650024</v>
      </c>
      <c r="AX9" s="27">
        <f t="shared" si="37"/>
        <v>-246997.5036</v>
      </c>
      <c r="AY9" s="22"/>
      <c r="AZ9" s="22">
        <f t="shared" si="29"/>
        <v>0</v>
      </c>
      <c r="BA9" s="22">
        <v>5792.330078</v>
      </c>
      <c r="BB9" s="27">
        <f t="shared" si="10"/>
        <v>-868849.51170000003</v>
      </c>
      <c r="BC9" s="22"/>
      <c r="BD9" s="22">
        <f t="shared" si="21"/>
        <v>0</v>
      </c>
      <c r="BE9" s="22">
        <v>1514.8649660000001</v>
      </c>
      <c r="BF9" s="27">
        <f t="shared" si="11"/>
        <v>-227229.74490000002</v>
      </c>
      <c r="BG9" s="22">
        <v>0</v>
      </c>
      <c r="BH9" s="22">
        <v>0</v>
      </c>
      <c r="BI9" s="22">
        <v>0</v>
      </c>
      <c r="BJ9" s="22">
        <f t="shared" si="12"/>
        <v>0</v>
      </c>
      <c r="BK9" s="22">
        <v>0</v>
      </c>
      <c r="BL9" s="19">
        <f t="shared" si="13"/>
        <v>113</v>
      </c>
      <c r="BM9" s="22">
        <f t="shared" si="14"/>
        <v>17795.238299999892</v>
      </c>
      <c r="BN9" s="22">
        <f t="shared" si="15"/>
        <v>17795.238299999892</v>
      </c>
      <c r="BO9" s="24">
        <v>365</v>
      </c>
      <c r="BP9" s="24">
        <v>8</v>
      </c>
      <c r="BQ9" s="24">
        <v>0.13</v>
      </c>
      <c r="BR9" s="24">
        <f t="shared" ref="BR9:BT9" si="47">BL9*BO9</f>
        <v>41245</v>
      </c>
      <c r="BS9" s="24">
        <f t="shared" si="47"/>
        <v>142361.90639999913</v>
      </c>
      <c r="BT9" s="24">
        <f t="shared" si="47"/>
        <v>2313.3809789999859</v>
      </c>
      <c r="BU9" s="24">
        <v>0</v>
      </c>
      <c r="BV9" s="24">
        <v>0</v>
      </c>
      <c r="BW9" s="24">
        <v>12812.57</v>
      </c>
      <c r="BX9" s="24">
        <f t="shared" si="17"/>
        <v>198732.98737899913</v>
      </c>
      <c r="BY9" s="24">
        <v>0</v>
      </c>
      <c r="BZ9" s="24">
        <v>0</v>
      </c>
      <c r="CA9" s="24">
        <v>0</v>
      </c>
      <c r="CB9" s="24">
        <v>-34763</v>
      </c>
      <c r="CC9" s="24">
        <v>3476</v>
      </c>
      <c r="CD9" s="24">
        <f t="shared" si="18"/>
        <v>167445.98737899913</v>
      </c>
      <c r="CE9" s="19"/>
    </row>
    <row r="10" spans="1:83" ht="14.25" customHeight="1" x14ac:dyDescent="0.25">
      <c r="A10" s="14" t="s">
        <v>83</v>
      </c>
      <c r="B10" s="14" t="s">
        <v>84</v>
      </c>
      <c r="C10" s="14" t="s">
        <v>85</v>
      </c>
      <c r="D10" s="14" t="s">
        <v>86</v>
      </c>
      <c r="E10" s="14" t="s">
        <v>87</v>
      </c>
      <c r="F10" s="15" t="s">
        <v>88</v>
      </c>
      <c r="G10" s="16" t="s">
        <v>89</v>
      </c>
      <c r="H10" s="17" t="s">
        <v>90</v>
      </c>
      <c r="I10" s="18">
        <v>0</v>
      </c>
      <c r="J10" s="18"/>
      <c r="K10" s="18"/>
      <c r="L10" s="19" t="s">
        <v>105</v>
      </c>
      <c r="M10" s="20">
        <v>45413</v>
      </c>
      <c r="N10" s="20">
        <v>45427</v>
      </c>
      <c r="O10" s="20">
        <v>45442</v>
      </c>
      <c r="P10" s="20" t="s">
        <v>92</v>
      </c>
      <c r="Q10" s="20" t="s">
        <v>93</v>
      </c>
      <c r="R10" s="19">
        <v>125</v>
      </c>
      <c r="S10" s="19">
        <f t="shared" si="0"/>
        <v>113</v>
      </c>
      <c r="T10" s="21">
        <v>86</v>
      </c>
      <c r="U10" s="21">
        <f t="shared" si="1"/>
        <v>113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0">
        <f t="shared" si="23"/>
        <v>45413</v>
      </c>
      <c r="AC10" s="20">
        <v>45383</v>
      </c>
      <c r="AD10" s="22">
        <f t="shared" si="24"/>
        <v>8953.9550780000009</v>
      </c>
      <c r="AE10" s="22">
        <v>8836.9550780000009</v>
      </c>
      <c r="AF10" s="22">
        <f t="shared" si="25"/>
        <v>9204.0400389999995</v>
      </c>
      <c r="AG10" s="22">
        <v>9084.8095699999994</v>
      </c>
      <c r="AH10" s="23">
        <v>0.57199999999999995</v>
      </c>
      <c r="AI10" s="19">
        <v>0.98</v>
      </c>
      <c r="AJ10" s="22">
        <f t="shared" si="2"/>
        <v>117</v>
      </c>
      <c r="AK10" s="22">
        <f t="shared" si="3"/>
        <v>119.23046900000008</v>
      </c>
      <c r="AL10" s="23">
        <f t="shared" si="4"/>
        <v>0.57199999999999995</v>
      </c>
      <c r="AM10" s="22">
        <f t="shared" ref="AM10:AO10" si="48">AJ10*150</f>
        <v>17550</v>
      </c>
      <c r="AN10" s="22">
        <f t="shared" si="48"/>
        <v>17884.570350000013</v>
      </c>
      <c r="AO10" s="23">
        <f t="shared" si="48"/>
        <v>85.8</v>
      </c>
      <c r="AP10" s="22">
        <v>0</v>
      </c>
      <c r="AQ10" s="22">
        <v>0</v>
      </c>
      <c r="AR10" s="22">
        <f t="shared" ref="AR10:AS10" si="49">AM10+AP10</f>
        <v>17550</v>
      </c>
      <c r="AS10" s="22">
        <f t="shared" si="49"/>
        <v>17884.570350000013</v>
      </c>
      <c r="AT10" s="23">
        <f t="shared" si="7"/>
        <v>85.8</v>
      </c>
      <c r="AU10" s="19">
        <f t="shared" si="8"/>
        <v>0.98</v>
      </c>
      <c r="AV10" s="22">
        <f t="shared" si="28"/>
        <v>1646.650024</v>
      </c>
      <c r="AW10" s="22">
        <v>1631.9449460000001</v>
      </c>
      <c r="AX10" s="22">
        <f t="shared" si="37"/>
        <v>2205.7616999999937</v>
      </c>
      <c r="AY10" s="22">
        <v>15.39</v>
      </c>
      <c r="AZ10" s="22">
        <f t="shared" si="29"/>
        <v>5792.330078</v>
      </c>
      <c r="BA10" s="22">
        <v>5706.7851559999999</v>
      </c>
      <c r="BB10" s="22">
        <f t="shared" si="10"/>
        <v>12831.738300000006</v>
      </c>
      <c r="BC10" s="22">
        <v>86.8</v>
      </c>
      <c r="BD10" s="22">
        <f t="shared" si="21"/>
        <v>1514.8649660000001</v>
      </c>
      <c r="BE10" s="22">
        <v>1498.214966</v>
      </c>
      <c r="BF10" s="22">
        <f t="shared" si="11"/>
        <v>2497.5000000000136</v>
      </c>
      <c r="BG10" s="22">
        <v>69.389999000000003</v>
      </c>
      <c r="BH10" s="22">
        <v>0</v>
      </c>
      <c r="BI10" s="22">
        <v>0</v>
      </c>
      <c r="BJ10" s="22">
        <f t="shared" si="12"/>
        <v>0</v>
      </c>
      <c r="BK10" s="22">
        <v>0</v>
      </c>
      <c r="BL10" s="19">
        <f t="shared" si="13"/>
        <v>113</v>
      </c>
      <c r="BM10" s="22">
        <f t="shared" si="14"/>
        <v>17550</v>
      </c>
      <c r="BN10" s="22">
        <f t="shared" si="15"/>
        <v>17550</v>
      </c>
      <c r="BO10" s="24">
        <v>365</v>
      </c>
      <c r="BP10" s="24">
        <v>8</v>
      </c>
      <c r="BQ10" s="24">
        <v>0.08</v>
      </c>
      <c r="BR10" s="24">
        <f t="shared" ref="BR10:BT10" si="50">BL10*BO10</f>
        <v>41245</v>
      </c>
      <c r="BS10" s="24">
        <f t="shared" si="50"/>
        <v>140400</v>
      </c>
      <c r="BT10" s="24">
        <f t="shared" si="50"/>
        <v>1404</v>
      </c>
      <c r="BU10" s="24">
        <v>0</v>
      </c>
      <c r="BV10" s="24">
        <v>0</v>
      </c>
      <c r="BW10" s="24">
        <v>12636</v>
      </c>
      <c r="BX10" s="24">
        <f t="shared" si="17"/>
        <v>195685.08000000002</v>
      </c>
      <c r="BY10" s="24">
        <v>0</v>
      </c>
      <c r="BZ10" s="24">
        <v>0</v>
      </c>
      <c r="CA10" s="24">
        <v>0</v>
      </c>
      <c r="CB10" s="24">
        <v>0</v>
      </c>
      <c r="CC10" s="24">
        <v>0</v>
      </c>
      <c r="CD10" s="24">
        <f t="shared" ref="CD10:CD13" si="51">SUM(BX10:CA10)</f>
        <v>195685.08000000002</v>
      </c>
      <c r="CE10" s="19"/>
    </row>
    <row r="11" spans="1:83" ht="14.25" customHeight="1" x14ac:dyDescent="0.25">
      <c r="A11" s="14" t="s">
        <v>83</v>
      </c>
      <c r="B11" s="14" t="s">
        <v>84</v>
      </c>
      <c r="C11" s="14" t="s">
        <v>85</v>
      </c>
      <c r="D11" s="14" t="s">
        <v>86</v>
      </c>
      <c r="E11" s="14" t="s">
        <v>87</v>
      </c>
      <c r="F11" s="15" t="s">
        <v>88</v>
      </c>
      <c r="G11" s="16" t="s">
        <v>89</v>
      </c>
      <c r="H11" s="17" t="s">
        <v>90</v>
      </c>
      <c r="I11" s="18">
        <v>0</v>
      </c>
      <c r="J11" s="18"/>
      <c r="K11" s="18"/>
      <c r="L11" s="19" t="s">
        <v>106</v>
      </c>
      <c r="M11" s="26" t="s">
        <v>107</v>
      </c>
      <c r="N11" s="20">
        <v>45397</v>
      </c>
      <c r="O11" s="20">
        <v>45412</v>
      </c>
      <c r="P11" s="20" t="s">
        <v>92</v>
      </c>
      <c r="Q11" s="20" t="s">
        <v>93</v>
      </c>
      <c r="R11" s="19">
        <v>125</v>
      </c>
      <c r="S11" s="19">
        <f t="shared" ref="S11:S13" si="52">0.848*R11</f>
        <v>106</v>
      </c>
      <c r="T11" s="21">
        <v>74</v>
      </c>
      <c r="U11" s="21">
        <f t="shared" si="1"/>
        <v>106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0">
        <f t="shared" si="23"/>
        <v>45383</v>
      </c>
      <c r="AC11" s="20">
        <v>45352</v>
      </c>
      <c r="AD11" s="22">
        <f t="shared" si="24"/>
        <v>8836.9550780000009</v>
      </c>
      <c r="AE11" s="22">
        <v>8733.1298829999996</v>
      </c>
      <c r="AF11" s="22">
        <f t="shared" si="25"/>
        <v>9084.8095699999994</v>
      </c>
      <c r="AG11" s="22">
        <v>8978.9101559999999</v>
      </c>
      <c r="AH11" s="23">
        <v>0.49659999999999999</v>
      </c>
      <c r="AI11" s="19">
        <v>0.98</v>
      </c>
      <c r="AJ11" s="22">
        <f t="shared" si="2"/>
        <v>103.82519500000126</v>
      </c>
      <c r="AK11" s="22">
        <f t="shared" si="3"/>
        <v>105.89941399999952</v>
      </c>
      <c r="AL11" s="23">
        <f t="shared" si="4"/>
        <v>0.49659999999999999</v>
      </c>
      <c r="AM11" s="22">
        <f t="shared" ref="AM11:AO11" si="53">AJ11*150</f>
        <v>15573.779250000189</v>
      </c>
      <c r="AN11" s="22">
        <f t="shared" si="53"/>
        <v>15884.912099999929</v>
      </c>
      <c r="AO11" s="23">
        <f t="shared" si="53"/>
        <v>74.489999999999995</v>
      </c>
      <c r="AP11" s="22">
        <v>0</v>
      </c>
      <c r="AQ11" s="22">
        <v>0</v>
      </c>
      <c r="AR11" s="22">
        <f t="shared" ref="AR11:AS11" si="54">AM11+AP11</f>
        <v>15573.779250000189</v>
      </c>
      <c r="AS11" s="22">
        <f t="shared" si="54"/>
        <v>15884.912099999929</v>
      </c>
      <c r="AT11" s="23">
        <f t="shared" si="7"/>
        <v>74.489999999999995</v>
      </c>
      <c r="AU11" s="19">
        <f t="shared" si="8"/>
        <v>0.98</v>
      </c>
      <c r="AV11" s="22">
        <f t="shared" si="28"/>
        <v>1631.9449460000001</v>
      </c>
      <c r="AW11" s="22">
        <v>1616.7700199999999</v>
      </c>
      <c r="AX11" s="22">
        <f t="shared" si="37"/>
        <v>2276.2389000000212</v>
      </c>
      <c r="AY11" s="22">
        <v>14.280001</v>
      </c>
      <c r="AZ11" s="22">
        <f t="shared" si="29"/>
        <v>5706.7851559999999</v>
      </c>
      <c r="BA11" s="22">
        <v>5632.7797849999997</v>
      </c>
      <c r="BB11" s="22">
        <f t="shared" si="10"/>
        <v>11100.805650000029</v>
      </c>
      <c r="BC11" s="22">
        <v>74.489998</v>
      </c>
      <c r="BD11" s="22">
        <f t="shared" si="21"/>
        <v>1498.214966</v>
      </c>
      <c r="BE11" s="22">
        <v>1483.5699460000001</v>
      </c>
      <c r="BF11" s="22">
        <f t="shared" si="11"/>
        <v>2196.7529999999897</v>
      </c>
      <c r="BG11" s="22">
        <v>51.600002000000003</v>
      </c>
      <c r="BH11" s="22">
        <v>0</v>
      </c>
      <c r="BI11" s="22">
        <v>0</v>
      </c>
      <c r="BJ11" s="22">
        <f t="shared" si="12"/>
        <v>0</v>
      </c>
      <c r="BK11" s="22">
        <v>0</v>
      </c>
      <c r="BL11" s="19">
        <f t="shared" si="13"/>
        <v>106</v>
      </c>
      <c r="BM11" s="22">
        <f t="shared" si="14"/>
        <v>15573.779250000189</v>
      </c>
      <c r="BN11" s="22">
        <f t="shared" si="15"/>
        <v>15573.779250000189</v>
      </c>
      <c r="BO11" s="24">
        <v>375</v>
      </c>
      <c r="BP11" s="24">
        <v>9.25</v>
      </c>
      <c r="BQ11" s="24">
        <v>0.16</v>
      </c>
      <c r="BR11" s="24">
        <f t="shared" ref="BR11:BT11" si="55">BL11*BO11</f>
        <v>39750</v>
      </c>
      <c r="BS11" s="24">
        <f t="shared" si="55"/>
        <v>144057.45806250174</v>
      </c>
      <c r="BT11" s="24">
        <f t="shared" si="55"/>
        <v>2491.8046800000302</v>
      </c>
      <c r="BU11" s="24">
        <v>0</v>
      </c>
      <c r="BV11" s="24">
        <v>0</v>
      </c>
      <c r="BW11" s="24">
        <v>12965.17</v>
      </c>
      <c r="BX11" s="24">
        <f t="shared" si="17"/>
        <v>199264.59274250179</v>
      </c>
      <c r="BY11" s="24">
        <v>0</v>
      </c>
      <c r="BZ11" s="24">
        <v>0</v>
      </c>
      <c r="CA11" s="24">
        <v>0</v>
      </c>
      <c r="CB11" s="24">
        <v>0</v>
      </c>
      <c r="CC11" s="24">
        <v>0</v>
      </c>
      <c r="CD11" s="24">
        <f t="shared" si="51"/>
        <v>199264.59274250179</v>
      </c>
      <c r="CE11" s="19"/>
    </row>
    <row r="12" spans="1:83" ht="14.25" customHeight="1" x14ac:dyDescent="0.25">
      <c r="A12" s="14" t="s">
        <v>83</v>
      </c>
      <c r="B12" s="14" t="s">
        <v>84</v>
      </c>
      <c r="C12" s="14" t="s">
        <v>85</v>
      </c>
      <c r="D12" s="14" t="s">
        <v>86</v>
      </c>
      <c r="E12" s="14" t="s">
        <v>87</v>
      </c>
      <c r="F12" s="15" t="s">
        <v>88</v>
      </c>
      <c r="G12" s="16" t="s">
        <v>89</v>
      </c>
      <c r="H12" s="17" t="s">
        <v>90</v>
      </c>
      <c r="I12" s="18">
        <v>0</v>
      </c>
      <c r="J12" s="18"/>
      <c r="K12" s="18"/>
      <c r="L12" s="19" t="s">
        <v>108</v>
      </c>
      <c r="M12" s="26" t="s">
        <v>109</v>
      </c>
      <c r="N12" s="20">
        <v>45366</v>
      </c>
      <c r="O12" s="20">
        <v>45381</v>
      </c>
      <c r="P12" s="20" t="s">
        <v>92</v>
      </c>
      <c r="Q12" s="20" t="s">
        <v>93</v>
      </c>
      <c r="R12" s="19">
        <v>125</v>
      </c>
      <c r="S12" s="19">
        <f t="shared" si="52"/>
        <v>106</v>
      </c>
      <c r="T12" s="21">
        <v>66</v>
      </c>
      <c r="U12" s="21">
        <f t="shared" si="1"/>
        <v>106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0">
        <f t="shared" si="23"/>
        <v>45352</v>
      </c>
      <c r="AC12" s="20">
        <v>45323</v>
      </c>
      <c r="AD12" s="22">
        <f t="shared" si="24"/>
        <v>8733.1298829999996</v>
      </c>
      <c r="AE12" s="22">
        <v>8648.0996090000008</v>
      </c>
      <c r="AF12" s="22">
        <f t="shared" si="25"/>
        <v>8978.9101559999999</v>
      </c>
      <c r="AG12" s="22">
        <v>8891.5498050000006</v>
      </c>
      <c r="AH12" s="23">
        <v>0.44319999999999998</v>
      </c>
      <c r="AI12" s="19">
        <v>0.97</v>
      </c>
      <c r="AJ12" s="22">
        <f t="shared" si="2"/>
        <v>85.030273999998826</v>
      </c>
      <c r="AK12" s="22">
        <f t="shared" si="3"/>
        <v>87.360350999999355</v>
      </c>
      <c r="AL12" s="23">
        <f t="shared" si="4"/>
        <v>0.44319999999999998</v>
      </c>
      <c r="AM12" s="22">
        <f t="shared" ref="AM12:AO12" si="56">AJ12*150</f>
        <v>12754.541099999824</v>
      </c>
      <c r="AN12" s="22">
        <f t="shared" si="56"/>
        <v>13104.052649999903</v>
      </c>
      <c r="AO12" s="23">
        <f t="shared" si="56"/>
        <v>66.48</v>
      </c>
      <c r="AP12" s="22">
        <v>0</v>
      </c>
      <c r="AQ12" s="22">
        <v>0</v>
      </c>
      <c r="AR12" s="22">
        <f t="shared" ref="AR12:AS12" si="57">AM12+AP12</f>
        <v>12754.541099999824</v>
      </c>
      <c r="AS12" s="22">
        <f t="shared" si="57"/>
        <v>13104.052649999903</v>
      </c>
      <c r="AT12" s="23">
        <f t="shared" si="7"/>
        <v>66.48</v>
      </c>
      <c r="AU12" s="19">
        <f t="shared" si="8"/>
        <v>0.97</v>
      </c>
      <c r="AV12" s="22">
        <f t="shared" si="28"/>
        <v>1616.7700199999999</v>
      </c>
      <c r="AW12" s="22">
        <v>1603.5500489999999</v>
      </c>
      <c r="AX12" s="22">
        <f t="shared" si="37"/>
        <v>1982.995649999998</v>
      </c>
      <c r="AY12" s="22">
        <v>13.08</v>
      </c>
      <c r="AZ12" s="22">
        <f t="shared" si="29"/>
        <v>5632.7797849999997</v>
      </c>
      <c r="BA12" s="22">
        <v>5573.6000979999999</v>
      </c>
      <c r="BB12" s="22">
        <f t="shared" si="10"/>
        <v>8876.9530499999746</v>
      </c>
      <c r="BC12" s="22">
        <v>66.479996</v>
      </c>
      <c r="BD12" s="22">
        <f t="shared" si="21"/>
        <v>1483.5699460000001</v>
      </c>
      <c r="BE12" s="22">
        <v>1470.9399410000001</v>
      </c>
      <c r="BF12" s="22">
        <f t="shared" si="11"/>
        <v>1894.5007499999974</v>
      </c>
      <c r="BG12" s="22">
        <v>45.09</v>
      </c>
      <c r="BH12" s="22">
        <v>0</v>
      </c>
      <c r="BI12" s="22">
        <v>0</v>
      </c>
      <c r="BJ12" s="22">
        <f t="shared" si="12"/>
        <v>0</v>
      </c>
      <c r="BK12" s="22">
        <v>0</v>
      </c>
      <c r="BL12" s="19">
        <f t="shared" ref="BL12:BL13" si="58">U12</f>
        <v>106</v>
      </c>
      <c r="BM12" s="22">
        <f t="shared" si="14"/>
        <v>12754.541099999824</v>
      </c>
      <c r="BN12" s="22">
        <f t="shared" si="15"/>
        <v>12754.541099999824</v>
      </c>
      <c r="BO12" s="24">
        <v>375</v>
      </c>
      <c r="BP12" s="24">
        <v>9.25</v>
      </c>
      <c r="BQ12" s="24">
        <v>0</v>
      </c>
      <c r="BR12" s="24">
        <f t="shared" ref="BR12:BT12" si="59">BL12*BO12</f>
        <v>39750</v>
      </c>
      <c r="BS12" s="24">
        <f t="shared" si="59"/>
        <v>117979.50517499837</v>
      </c>
      <c r="BT12" s="24">
        <f t="shared" si="59"/>
        <v>0</v>
      </c>
      <c r="BU12" s="24">
        <v>0</v>
      </c>
      <c r="BV12" s="24">
        <v>0</v>
      </c>
      <c r="BW12" s="24">
        <v>10618.16</v>
      </c>
      <c r="BX12" s="24">
        <f t="shared" si="17"/>
        <v>168347.66517499837</v>
      </c>
      <c r="BY12" s="24">
        <v>0</v>
      </c>
      <c r="BZ12" s="24">
        <v>0</v>
      </c>
      <c r="CA12" s="24">
        <v>0</v>
      </c>
      <c r="CB12" s="24">
        <v>0</v>
      </c>
      <c r="CC12" s="24">
        <v>0</v>
      </c>
      <c r="CD12" s="24">
        <f t="shared" si="51"/>
        <v>168347.66517499837</v>
      </c>
      <c r="CE12" s="19"/>
    </row>
    <row r="13" spans="1:83" ht="14.25" customHeight="1" x14ac:dyDescent="0.25">
      <c r="A13" s="14" t="s">
        <v>83</v>
      </c>
      <c r="B13" s="14" t="s">
        <v>84</v>
      </c>
      <c r="C13" s="14" t="s">
        <v>85</v>
      </c>
      <c r="D13" s="14" t="s">
        <v>86</v>
      </c>
      <c r="E13" s="14" t="s">
        <v>87</v>
      </c>
      <c r="F13" s="15" t="s">
        <v>88</v>
      </c>
      <c r="G13" s="16" t="s">
        <v>89</v>
      </c>
      <c r="H13" s="17" t="s">
        <v>90</v>
      </c>
      <c r="I13" s="18">
        <v>0</v>
      </c>
      <c r="J13" s="18"/>
      <c r="K13" s="18"/>
      <c r="L13" s="19" t="s">
        <v>110</v>
      </c>
      <c r="M13" s="20">
        <v>45323</v>
      </c>
      <c r="N13" s="20">
        <v>45337</v>
      </c>
      <c r="O13" s="20" t="s">
        <v>111</v>
      </c>
      <c r="P13" s="20" t="s">
        <v>92</v>
      </c>
      <c r="Q13" s="20" t="s">
        <v>93</v>
      </c>
      <c r="R13" s="19">
        <v>125</v>
      </c>
      <c r="S13" s="19">
        <f t="shared" si="52"/>
        <v>106</v>
      </c>
      <c r="T13" s="21">
        <v>50</v>
      </c>
      <c r="U13" s="21">
        <f t="shared" si="1"/>
        <v>106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0">
        <f t="shared" si="23"/>
        <v>45323</v>
      </c>
      <c r="AC13" s="20">
        <v>45292</v>
      </c>
      <c r="AD13" s="22">
        <f t="shared" si="24"/>
        <v>8648.0996090000008</v>
      </c>
      <c r="AE13" s="22">
        <v>8571.68</v>
      </c>
      <c r="AF13" s="22">
        <f t="shared" si="25"/>
        <v>8891.5498050000006</v>
      </c>
      <c r="AG13" s="22">
        <v>8802.6</v>
      </c>
      <c r="AH13" s="23">
        <v>0.33400000000000002</v>
      </c>
      <c r="AI13" s="19">
        <v>0.97</v>
      </c>
      <c r="AJ13" s="22">
        <f t="shared" si="2"/>
        <v>76.419609000000492</v>
      </c>
      <c r="AK13" s="22">
        <f t="shared" si="3"/>
        <v>88.949805000000197</v>
      </c>
      <c r="AL13" s="23">
        <f t="shared" si="4"/>
        <v>0.33400000000000002</v>
      </c>
      <c r="AM13" s="22">
        <f t="shared" ref="AM13:AO13" si="60">AJ13*150</f>
        <v>11462.941350000074</v>
      </c>
      <c r="AN13" s="22">
        <f t="shared" si="60"/>
        <v>13342.47075000003</v>
      </c>
      <c r="AO13" s="23">
        <f t="shared" si="60"/>
        <v>50.1</v>
      </c>
      <c r="AP13" s="22">
        <v>0</v>
      </c>
      <c r="AQ13" s="22">
        <v>0</v>
      </c>
      <c r="AR13" s="22">
        <f t="shared" ref="AR13:AS13" si="61">AM13+AP13</f>
        <v>11462.941350000074</v>
      </c>
      <c r="AS13" s="22">
        <f t="shared" si="61"/>
        <v>13342.47075000003</v>
      </c>
      <c r="AT13" s="23">
        <f t="shared" si="7"/>
        <v>50.1</v>
      </c>
      <c r="AU13" s="19">
        <f t="shared" si="8"/>
        <v>0.97</v>
      </c>
      <c r="AV13" s="22">
        <v>0</v>
      </c>
      <c r="AW13" s="22">
        <v>0</v>
      </c>
      <c r="AX13" s="22">
        <f t="shared" si="37"/>
        <v>0</v>
      </c>
      <c r="AY13" s="22">
        <v>0</v>
      </c>
      <c r="AZ13" s="22">
        <v>0</v>
      </c>
      <c r="BA13" s="22">
        <v>0</v>
      </c>
      <c r="BB13" s="22">
        <f t="shared" si="10"/>
        <v>0</v>
      </c>
      <c r="BC13" s="22">
        <v>0</v>
      </c>
      <c r="BD13" s="22">
        <v>0</v>
      </c>
      <c r="BE13" s="22">
        <v>0</v>
      </c>
      <c r="BF13" s="22">
        <v>0</v>
      </c>
      <c r="BG13" s="22">
        <v>0</v>
      </c>
      <c r="BH13" s="22">
        <v>0</v>
      </c>
      <c r="BI13" s="22">
        <v>0</v>
      </c>
      <c r="BJ13" s="22">
        <f t="shared" si="12"/>
        <v>0</v>
      </c>
      <c r="BK13" s="22">
        <v>0</v>
      </c>
      <c r="BL13" s="19">
        <f t="shared" si="58"/>
        <v>106</v>
      </c>
      <c r="BM13" s="22">
        <f t="shared" si="14"/>
        <v>11462.941350000074</v>
      </c>
      <c r="BN13" s="22">
        <f t="shared" si="15"/>
        <v>11462.941350000074</v>
      </c>
      <c r="BO13" s="24">
        <v>375</v>
      </c>
      <c r="BP13" s="24">
        <v>9.25</v>
      </c>
      <c r="BQ13" s="24">
        <v>0.09</v>
      </c>
      <c r="BR13" s="24">
        <f t="shared" ref="BR13:BT13" si="62">BL13*BO13</f>
        <v>39750</v>
      </c>
      <c r="BS13" s="28">
        <f t="shared" si="62"/>
        <v>106032.20748750068</v>
      </c>
      <c r="BT13" s="28">
        <f t="shared" si="62"/>
        <v>1031.6647215000066</v>
      </c>
      <c r="BU13" s="24">
        <v>0</v>
      </c>
      <c r="BV13" s="24">
        <v>0</v>
      </c>
      <c r="BW13" s="24">
        <v>9518</v>
      </c>
      <c r="BX13" s="28">
        <f t="shared" si="17"/>
        <v>156331.96220900069</v>
      </c>
      <c r="BY13" s="24">
        <v>0</v>
      </c>
      <c r="BZ13" s="24">
        <v>0</v>
      </c>
      <c r="CA13" s="24">
        <v>0</v>
      </c>
      <c r="CB13" s="24">
        <v>0</v>
      </c>
      <c r="CC13" s="24">
        <v>0</v>
      </c>
      <c r="CD13" s="24">
        <f t="shared" si="51"/>
        <v>156331.96220900069</v>
      </c>
      <c r="CE13" s="19"/>
    </row>
    <row r="14" spans="1:83" ht="14.25" customHeight="1" x14ac:dyDescent="0.25">
      <c r="A14" s="14"/>
      <c r="B14" s="14"/>
      <c r="C14" s="29"/>
      <c r="D14" s="29"/>
      <c r="E14" s="29"/>
      <c r="F14" s="29"/>
      <c r="G14" s="30"/>
      <c r="H14" s="31"/>
      <c r="I14" s="31"/>
      <c r="J14" s="31"/>
      <c r="K14" s="31"/>
      <c r="L14" s="32"/>
      <c r="M14" s="33"/>
      <c r="N14" s="33"/>
      <c r="O14" s="33"/>
      <c r="P14" s="33"/>
      <c r="Q14" s="33"/>
      <c r="R14" s="33"/>
      <c r="S14" s="33"/>
      <c r="T14" s="34"/>
      <c r="U14" s="34"/>
      <c r="V14" s="34"/>
      <c r="W14" s="34"/>
      <c r="X14" s="34"/>
      <c r="Y14" s="34"/>
      <c r="Z14" s="34"/>
      <c r="AA14" s="34"/>
      <c r="AB14" s="33"/>
      <c r="AC14" s="33"/>
      <c r="AD14" s="35"/>
      <c r="AE14" s="35"/>
      <c r="AF14" s="35"/>
      <c r="AG14" s="35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23"/>
      <c r="AU14" s="32"/>
      <c r="AV14" s="35"/>
      <c r="AW14" s="35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6"/>
      <c r="BR14" s="36"/>
      <c r="BS14" s="36"/>
      <c r="BT14" s="36"/>
      <c r="BU14" s="36"/>
      <c r="BV14" s="36"/>
      <c r="BW14" s="32"/>
      <c r="BX14" s="36"/>
      <c r="BY14" s="32"/>
      <c r="BZ14" s="32"/>
      <c r="CA14" s="32"/>
      <c r="CB14" s="32"/>
      <c r="CC14" s="32"/>
      <c r="CD14" s="36"/>
      <c r="CE14" s="32"/>
    </row>
    <row r="15" spans="1:83" ht="14.25" customHeight="1" x14ac:dyDescent="0.25">
      <c r="A15" s="14"/>
      <c r="B15" s="14"/>
      <c r="C15" s="29"/>
      <c r="D15" s="14"/>
      <c r="E15" s="14"/>
      <c r="F15" s="29"/>
      <c r="G15" s="29"/>
      <c r="H15" s="37"/>
      <c r="I15" s="37"/>
      <c r="J15" s="37"/>
      <c r="K15" s="37"/>
      <c r="L15" s="37"/>
      <c r="M15" s="38"/>
      <c r="N15" s="38"/>
      <c r="O15" s="38"/>
      <c r="P15" s="38"/>
      <c r="Q15" s="38"/>
      <c r="R15" s="38"/>
      <c r="S15" s="38"/>
      <c r="T15" s="39"/>
      <c r="U15" s="39"/>
      <c r="V15" s="39"/>
      <c r="W15" s="39"/>
      <c r="X15" s="39"/>
      <c r="Y15" s="39"/>
      <c r="Z15" s="39"/>
      <c r="AA15" s="39"/>
      <c r="AB15" s="38"/>
      <c r="AC15" s="38"/>
      <c r="AD15" s="40"/>
      <c r="AE15" s="40"/>
      <c r="AF15" s="40"/>
      <c r="AG15" s="40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40"/>
      <c r="AW15" s="40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41"/>
      <c r="BR15" s="41"/>
      <c r="BS15" s="41"/>
      <c r="BT15" s="41"/>
      <c r="BU15" s="41"/>
      <c r="BV15" s="41"/>
      <c r="BW15" s="37"/>
      <c r="BX15" s="41"/>
      <c r="BY15" s="37"/>
      <c r="BZ15" s="37"/>
      <c r="CA15" s="37"/>
      <c r="CB15" s="37"/>
      <c r="CC15" s="37"/>
      <c r="CD15" s="41"/>
      <c r="CE15" s="37"/>
    </row>
    <row r="16" spans="1:83" ht="14.25" customHeight="1" x14ac:dyDescent="0.25">
      <c r="A16" s="14"/>
      <c r="B16" s="14"/>
      <c r="C16" s="29"/>
      <c r="D16" s="14"/>
      <c r="E16" s="14"/>
      <c r="F16" s="29"/>
      <c r="G16" s="29"/>
      <c r="H16" s="37"/>
      <c r="I16" s="37"/>
      <c r="J16" s="37"/>
      <c r="K16" s="37"/>
      <c r="L16" s="37"/>
      <c r="M16" s="38"/>
      <c r="N16" s="38"/>
      <c r="O16" s="38"/>
      <c r="P16" s="38"/>
      <c r="Q16" s="38"/>
      <c r="R16" s="38"/>
      <c r="S16" s="38"/>
      <c r="T16" s="39"/>
      <c r="U16" s="39"/>
      <c r="V16" s="39"/>
      <c r="W16" s="39"/>
      <c r="X16" s="39"/>
      <c r="Y16" s="39"/>
      <c r="Z16" s="39"/>
      <c r="AA16" s="39"/>
      <c r="AB16" s="38"/>
      <c r="AC16" s="38"/>
      <c r="AD16" s="40"/>
      <c r="AE16" s="40"/>
      <c r="AF16" s="40"/>
      <c r="AG16" s="40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40"/>
      <c r="AW16" s="40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41"/>
      <c r="BR16" s="41"/>
      <c r="BS16" s="41"/>
      <c r="BT16" s="41"/>
      <c r="BU16" s="41"/>
      <c r="BV16" s="41"/>
      <c r="BW16" s="37"/>
      <c r="BX16" s="41"/>
      <c r="BY16" s="37"/>
      <c r="BZ16" s="37"/>
      <c r="CA16" s="37"/>
      <c r="CB16" s="37"/>
      <c r="CC16" s="37"/>
      <c r="CD16" s="41"/>
      <c r="CE16" s="37"/>
    </row>
    <row r="17" spans="1:83" ht="14.25" customHeight="1" x14ac:dyDescent="0.25">
      <c r="A17" s="14"/>
      <c r="B17" s="14"/>
      <c r="C17" s="29"/>
      <c r="D17" s="29"/>
      <c r="E17" s="29"/>
      <c r="F17" s="29"/>
      <c r="G17" s="29"/>
      <c r="H17" s="37"/>
      <c r="I17" s="37"/>
      <c r="J17" s="37"/>
      <c r="K17" s="37"/>
      <c r="L17" s="37"/>
      <c r="M17" s="38"/>
      <c r="N17" s="38"/>
      <c r="O17" s="38"/>
      <c r="P17" s="38"/>
      <c r="Q17" s="38"/>
      <c r="R17" s="38"/>
      <c r="S17" s="38"/>
      <c r="T17" s="39"/>
      <c r="U17" s="39"/>
      <c r="V17" s="39"/>
      <c r="W17" s="39"/>
      <c r="X17" s="39"/>
      <c r="Y17" s="39"/>
      <c r="Z17" s="39"/>
      <c r="AA17" s="39"/>
      <c r="AB17" s="38"/>
      <c r="AC17" s="38"/>
      <c r="AD17" s="40"/>
      <c r="AE17" s="40"/>
      <c r="AF17" s="40"/>
      <c r="AG17" s="40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40"/>
      <c r="AW17" s="40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41"/>
      <c r="BR17" s="41"/>
      <c r="BS17" s="41"/>
      <c r="BT17" s="41"/>
      <c r="BU17" s="41"/>
      <c r="BV17" s="41"/>
      <c r="BW17" s="37"/>
      <c r="BX17" s="41"/>
      <c r="BY17" s="37"/>
      <c r="BZ17" s="37"/>
      <c r="CA17" s="37"/>
      <c r="CB17" s="37"/>
      <c r="CC17" s="37"/>
      <c r="CD17" s="41"/>
      <c r="CE17" s="37"/>
    </row>
    <row r="18" spans="1:83" ht="14.25" customHeight="1" x14ac:dyDescent="0.25">
      <c r="A18" s="14"/>
      <c r="B18" s="14"/>
      <c r="C18" s="29"/>
      <c r="D18" s="14"/>
      <c r="E18" s="14"/>
      <c r="F18" s="29"/>
      <c r="G18" s="29"/>
      <c r="H18" s="37"/>
      <c r="I18" s="37"/>
      <c r="J18" s="37"/>
      <c r="K18" s="37"/>
      <c r="L18" s="37"/>
      <c r="M18" s="38"/>
      <c r="N18" s="38"/>
      <c r="O18" s="38"/>
      <c r="P18" s="38"/>
      <c r="Q18" s="38"/>
      <c r="R18" s="38"/>
      <c r="S18" s="38"/>
      <c r="T18" s="39"/>
      <c r="U18" s="39"/>
      <c r="V18" s="39"/>
      <c r="W18" s="39"/>
      <c r="X18" s="39"/>
      <c r="Y18" s="39"/>
      <c r="Z18" s="39"/>
      <c r="AA18" s="39"/>
      <c r="AB18" s="38"/>
      <c r="AC18" s="38"/>
      <c r="AD18" s="40"/>
      <c r="AE18" s="40"/>
      <c r="AF18" s="40"/>
      <c r="AG18" s="40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40"/>
      <c r="AW18" s="40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41"/>
      <c r="BR18" s="41"/>
      <c r="BS18" s="41"/>
      <c r="BT18" s="41"/>
      <c r="BU18" s="41"/>
      <c r="BV18" s="41"/>
      <c r="BW18" s="37"/>
      <c r="BX18" s="41"/>
      <c r="BY18" s="37"/>
      <c r="BZ18" s="37"/>
      <c r="CA18" s="37"/>
      <c r="CB18" s="37"/>
      <c r="CC18" s="37"/>
      <c r="CD18" s="41"/>
      <c r="CE18" s="37"/>
    </row>
    <row r="19" spans="1:83" ht="14.25" customHeight="1" x14ac:dyDescent="0.25">
      <c r="A19" s="14"/>
      <c r="B19" s="14"/>
      <c r="C19" s="29"/>
      <c r="D19" s="14"/>
      <c r="E19" s="14"/>
      <c r="F19" s="29"/>
      <c r="G19" s="29"/>
      <c r="H19" s="37"/>
      <c r="I19" s="37"/>
      <c r="J19" s="37"/>
      <c r="K19" s="37"/>
      <c r="L19" s="37"/>
      <c r="M19" s="38"/>
      <c r="N19" s="38"/>
      <c r="O19" s="38"/>
      <c r="P19" s="38"/>
      <c r="Q19" s="38"/>
      <c r="R19" s="38"/>
      <c r="S19" s="38"/>
      <c r="T19" s="39"/>
      <c r="U19" s="39"/>
      <c r="V19" s="39"/>
      <c r="W19" s="39"/>
      <c r="X19" s="39"/>
      <c r="Y19" s="39"/>
      <c r="Z19" s="39"/>
      <c r="AA19" s="39"/>
      <c r="AB19" s="38"/>
      <c r="AC19" s="38"/>
      <c r="AD19" s="40"/>
      <c r="AE19" s="40"/>
      <c r="AF19" s="40"/>
      <c r="AG19" s="40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40"/>
      <c r="AW19" s="40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41"/>
      <c r="BR19" s="41"/>
      <c r="BS19" s="41"/>
      <c r="BT19" s="41"/>
      <c r="BU19" s="37"/>
      <c r="BV19" s="37"/>
      <c r="BW19" s="37"/>
      <c r="BX19" s="41"/>
      <c r="BY19" s="37"/>
      <c r="BZ19" s="37"/>
      <c r="CA19" s="37"/>
      <c r="CB19" s="37"/>
      <c r="CC19" s="37"/>
      <c r="CD19" s="41"/>
      <c r="CE19" s="37"/>
    </row>
    <row r="20" spans="1:83" ht="14.25" customHeight="1" x14ac:dyDescent="0.25">
      <c r="A20" s="14"/>
      <c r="B20" s="14"/>
      <c r="C20" s="29"/>
      <c r="D20" s="29"/>
      <c r="E20" s="29"/>
      <c r="F20" s="29"/>
      <c r="G20" s="29"/>
      <c r="H20" s="37"/>
      <c r="I20" s="37"/>
      <c r="J20" s="37"/>
      <c r="K20" s="37"/>
      <c r="L20" s="37"/>
      <c r="M20" s="38"/>
      <c r="N20" s="38"/>
      <c r="O20" s="38"/>
      <c r="P20" s="38"/>
      <c r="Q20" s="38"/>
      <c r="R20" s="38"/>
      <c r="S20" s="38"/>
      <c r="T20" s="39"/>
      <c r="U20" s="39"/>
      <c r="V20" s="39"/>
      <c r="W20" s="39"/>
      <c r="X20" s="39"/>
      <c r="Y20" s="39"/>
      <c r="Z20" s="39"/>
      <c r="AA20" s="39"/>
      <c r="AB20" s="38"/>
      <c r="AC20" s="38"/>
      <c r="AD20" s="40"/>
      <c r="AE20" s="40"/>
      <c r="AF20" s="40"/>
      <c r="AG20" s="40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40"/>
      <c r="AW20" s="40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41"/>
      <c r="BR20" s="41"/>
      <c r="BS20" s="41"/>
      <c r="BT20" s="41"/>
      <c r="BU20" s="37"/>
      <c r="BV20" s="37"/>
      <c r="BW20" s="37"/>
      <c r="BX20" s="41"/>
      <c r="BY20" s="37"/>
      <c r="BZ20" s="37"/>
      <c r="CA20" s="37"/>
      <c r="CB20" s="37"/>
      <c r="CC20" s="37"/>
      <c r="CD20" s="41"/>
      <c r="CE20" s="37"/>
    </row>
    <row r="21" spans="1:83" ht="14.25" customHeight="1" x14ac:dyDescent="0.25">
      <c r="A21" s="14"/>
      <c r="B21" s="14"/>
      <c r="C21" s="29"/>
      <c r="D21" s="14"/>
      <c r="E21" s="14"/>
      <c r="F21" s="29"/>
      <c r="G21" s="29"/>
      <c r="H21" s="37"/>
      <c r="I21" s="37"/>
      <c r="J21" s="37"/>
      <c r="K21" s="37"/>
      <c r="L21" s="37"/>
      <c r="M21" s="38"/>
      <c r="N21" s="38"/>
      <c r="O21" s="38"/>
      <c r="P21" s="38"/>
      <c r="Q21" s="38"/>
      <c r="R21" s="38"/>
      <c r="S21" s="38"/>
      <c r="T21" s="39"/>
      <c r="U21" s="39"/>
      <c r="V21" s="39"/>
      <c r="W21" s="39"/>
      <c r="X21" s="39"/>
      <c r="Y21" s="39"/>
      <c r="Z21" s="39"/>
      <c r="AA21" s="39"/>
      <c r="AB21" s="38"/>
      <c r="AC21" s="38"/>
      <c r="AD21" s="40"/>
      <c r="AE21" s="40"/>
      <c r="AF21" s="40"/>
      <c r="AG21" s="40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40"/>
      <c r="AW21" s="40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41"/>
      <c r="BR21" s="41"/>
      <c r="BS21" s="41"/>
      <c r="BT21" s="41"/>
      <c r="BU21" s="37"/>
      <c r="BV21" s="37"/>
      <c r="BW21" s="37"/>
      <c r="BX21" s="41"/>
      <c r="BY21" s="37"/>
      <c r="BZ21" s="37"/>
      <c r="CA21" s="37"/>
      <c r="CB21" s="37"/>
      <c r="CC21" s="37"/>
      <c r="CD21" s="37"/>
      <c r="CE21" s="37"/>
    </row>
    <row r="22" spans="1:83" ht="14.25" customHeight="1" x14ac:dyDescent="0.25">
      <c r="A22" s="14"/>
      <c r="B22" s="14"/>
      <c r="C22" s="29"/>
      <c r="D22" s="14"/>
      <c r="E22" s="14"/>
      <c r="F22" s="29"/>
      <c r="G22" s="29"/>
      <c r="H22" s="37"/>
      <c r="I22" s="37"/>
      <c r="J22" s="37"/>
      <c r="K22" s="37"/>
      <c r="L22" s="37"/>
      <c r="M22" s="38"/>
      <c r="N22" s="38"/>
      <c r="O22" s="38"/>
      <c r="P22" s="38"/>
      <c r="Q22" s="38"/>
      <c r="R22" s="38"/>
      <c r="S22" s="38"/>
      <c r="T22" s="39"/>
      <c r="U22" s="39"/>
      <c r="V22" s="39"/>
      <c r="W22" s="39"/>
      <c r="X22" s="39"/>
      <c r="Y22" s="39"/>
      <c r="Z22" s="39"/>
      <c r="AA22" s="39"/>
      <c r="AB22" s="38"/>
      <c r="AC22" s="38"/>
      <c r="AD22" s="40"/>
      <c r="AE22" s="40"/>
      <c r="AF22" s="40"/>
      <c r="AG22" s="40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40"/>
      <c r="AW22" s="40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41"/>
      <c r="BR22" s="41"/>
      <c r="BS22" s="41"/>
      <c r="BT22" s="41"/>
      <c r="BU22" s="37"/>
      <c r="BV22" s="37"/>
      <c r="BW22" s="37"/>
      <c r="BX22" s="41"/>
      <c r="BY22" s="37"/>
      <c r="BZ22" s="37"/>
      <c r="CA22" s="37"/>
      <c r="CB22" s="37"/>
      <c r="CC22" s="37"/>
      <c r="CD22" s="37"/>
      <c r="CE22" s="37"/>
    </row>
    <row r="23" spans="1:83" ht="14.25" customHeight="1" x14ac:dyDescent="0.25">
      <c r="A23" s="14"/>
      <c r="B23" s="14"/>
      <c r="C23" s="29"/>
      <c r="D23" s="29"/>
      <c r="E23" s="29"/>
      <c r="F23" s="29"/>
      <c r="G23" s="29"/>
      <c r="H23" s="37"/>
      <c r="I23" s="37"/>
      <c r="J23" s="37"/>
      <c r="K23" s="37"/>
      <c r="L23" s="37"/>
      <c r="M23" s="38"/>
      <c r="N23" s="38"/>
      <c r="O23" s="38"/>
      <c r="P23" s="38"/>
      <c r="Q23" s="38"/>
      <c r="R23" s="38"/>
      <c r="S23" s="38"/>
      <c r="T23" s="39"/>
      <c r="U23" s="39"/>
      <c r="V23" s="39"/>
      <c r="W23" s="39"/>
      <c r="X23" s="39"/>
      <c r="Y23" s="39"/>
      <c r="Z23" s="39"/>
      <c r="AA23" s="39"/>
      <c r="AB23" s="38"/>
      <c r="AC23" s="38"/>
      <c r="AD23" s="40"/>
      <c r="AE23" s="40"/>
      <c r="AF23" s="40"/>
      <c r="AG23" s="40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40"/>
      <c r="AW23" s="40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41"/>
      <c r="BR23" s="41"/>
      <c r="BS23" s="41"/>
      <c r="BT23" s="41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</row>
    <row r="24" spans="1:83" ht="14.25" customHeight="1" x14ac:dyDescent="0.25">
      <c r="A24" s="14"/>
      <c r="B24" s="14"/>
      <c r="C24" s="29"/>
      <c r="D24" s="14"/>
      <c r="E24" s="14"/>
      <c r="F24" s="29"/>
      <c r="G24" s="29"/>
      <c r="H24" s="37"/>
      <c r="I24" s="37"/>
      <c r="J24" s="37"/>
      <c r="K24" s="37"/>
      <c r="L24" s="37"/>
      <c r="M24" s="38"/>
      <c r="N24" s="38"/>
      <c r="O24" s="38"/>
      <c r="P24" s="38"/>
      <c r="Q24" s="38"/>
      <c r="R24" s="38"/>
      <c r="S24" s="38"/>
      <c r="T24" s="39"/>
      <c r="U24" s="39"/>
      <c r="V24" s="39"/>
      <c r="W24" s="39"/>
      <c r="X24" s="39"/>
      <c r="Y24" s="39"/>
      <c r="Z24" s="39"/>
      <c r="AA24" s="39"/>
      <c r="AB24" s="38"/>
      <c r="AC24" s="38"/>
      <c r="AD24" s="40"/>
      <c r="AE24" s="40"/>
      <c r="AF24" s="40"/>
      <c r="AG24" s="40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40"/>
      <c r="AW24" s="40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41"/>
      <c r="BR24" s="41"/>
      <c r="BS24" s="41"/>
      <c r="BT24" s="41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</row>
    <row r="25" spans="1:83" ht="14.25" customHeight="1" x14ac:dyDescent="0.25">
      <c r="A25" s="14"/>
      <c r="B25" s="14"/>
      <c r="C25" s="29"/>
      <c r="D25" s="14"/>
      <c r="E25" s="14"/>
      <c r="F25" s="29"/>
      <c r="G25" s="29"/>
      <c r="H25" s="37"/>
      <c r="I25" s="37"/>
      <c r="J25" s="37"/>
      <c r="K25" s="37"/>
      <c r="L25" s="37"/>
      <c r="M25" s="38"/>
      <c r="N25" s="38"/>
      <c r="O25" s="38"/>
      <c r="P25" s="38"/>
      <c r="Q25" s="38"/>
      <c r="R25" s="38"/>
      <c r="S25" s="38"/>
      <c r="T25" s="39"/>
      <c r="U25" s="39"/>
      <c r="V25" s="39"/>
      <c r="W25" s="39"/>
      <c r="X25" s="39"/>
      <c r="Y25" s="39"/>
      <c r="Z25" s="39"/>
      <c r="AA25" s="39"/>
      <c r="AB25" s="38"/>
      <c r="AC25" s="38"/>
      <c r="AD25" s="40"/>
      <c r="AE25" s="40"/>
      <c r="AF25" s="40"/>
      <c r="AG25" s="40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40"/>
      <c r="AW25" s="40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41"/>
      <c r="BR25" s="41"/>
      <c r="BS25" s="41"/>
      <c r="BT25" s="41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</row>
    <row r="26" spans="1:83" ht="14.25" customHeight="1" x14ac:dyDescent="0.25">
      <c r="A26" s="14"/>
      <c r="B26" s="14"/>
      <c r="C26" s="29"/>
      <c r="D26" s="29"/>
      <c r="E26" s="29"/>
      <c r="F26" s="29"/>
      <c r="G26" s="29"/>
      <c r="H26" s="37"/>
      <c r="I26" s="37"/>
      <c r="J26" s="37"/>
      <c r="K26" s="37"/>
      <c r="L26" s="37"/>
      <c r="M26" s="38"/>
      <c r="N26" s="38"/>
      <c r="O26" s="38"/>
      <c r="P26" s="38"/>
      <c r="Q26" s="38"/>
      <c r="R26" s="38"/>
      <c r="S26" s="38"/>
      <c r="T26" s="39"/>
      <c r="U26" s="39"/>
      <c r="V26" s="39"/>
      <c r="W26" s="39"/>
      <c r="X26" s="39"/>
      <c r="Y26" s="39"/>
      <c r="Z26" s="39"/>
      <c r="AA26" s="39"/>
      <c r="AB26" s="38"/>
      <c r="AC26" s="38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40"/>
      <c r="AW26" s="40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41"/>
      <c r="BR26" s="41"/>
      <c r="BS26" s="41"/>
      <c r="BT26" s="41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</row>
    <row r="27" spans="1:83" ht="14.25" customHeight="1" x14ac:dyDescent="0.25">
      <c r="A27" s="14"/>
      <c r="B27" s="14"/>
      <c r="C27" s="29"/>
      <c r="D27" s="14"/>
      <c r="E27" s="14"/>
      <c r="F27" s="29"/>
      <c r="G27" s="29"/>
      <c r="H27" s="37"/>
      <c r="I27" s="37"/>
      <c r="J27" s="37"/>
      <c r="K27" s="37"/>
      <c r="L27" s="37"/>
      <c r="M27" s="38"/>
      <c r="N27" s="38"/>
      <c r="O27" s="38"/>
      <c r="P27" s="38"/>
      <c r="Q27" s="38"/>
      <c r="R27" s="38"/>
      <c r="S27" s="38"/>
      <c r="T27" s="39"/>
      <c r="U27" s="39"/>
      <c r="V27" s="39"/>
      <c r="W27" s="39"/>
      <c r="X27" s="39"/>
      <c r="Y27" s="39"/>
      <c r="Z27" s="39"/>
      <c r="AA27" s="39"/>
      <c r="AB27" s="38"/>
      <c r="AC27" s="38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</row>
    <row r="28" spans="1:83" ht="14.25" customHeight="1" x14ac:dyDescent="0.25">
      <c r="A28" s="14"/>
      <c r="B28" s="14"/>
      <c r="C28" s="29"/>
      <c r="D28" s="29"/>
      <c r="E28" s="29"/>
      <c r="F28" s="42"/>
      <c r="G28" s="42"/>
      <c r="H28" s="37"/>
      <c r="I28" s="37"/>
      <c r="J28" s="37"/>
      <c r="K28" s="37"/>
      <c r="L28" s="37"/>
      <c r="M28" s="38"/>
      <c r="N28" s="38"/>
      <c r="O28" s="38"/>
      <c r="P28" s="38"/>
      <c r="Q28" s="38"/>
      <c r="R28" s="38"/>
      <c r="S28" s="38"/>
      <c r="T28" s="39"/>
      <c r="U28" s="39"/>
      <c r="V28" s="39"/>
      <c r="W28" s="39"/>
      <c r="X28" s="39"/>
      <c r="Y28" s="39"/>
      <c r="Z28" s="39"/>
      <c r="AA28" s="39"/>
      <c r="AB28" s="38"/>
      <c r="AC28" s="38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</row>
    <row r="29" spans="1:83" ht="14.25" customHeight="1" x14ac:dyDescent="0.25">
      <c r="A29" s="14"/>
      <c r="B29" s="14"/>
      <c r="C29" s="29"/>
      <c r="D29" s="29"/>
      <c r="E29" s="29"/>
      <c r="F29" s="29"/>
      <c r="G29" s="29"/>
      <c r="H29" s="37"/>
      <c r="I29" s="37"/>
      <c r="J29" s="37"/>
      <c r="K29" s="37"/>
      <c r="L29" s="37"/>
      <c r="M29" s="38"/>
      <c r="N29" s="38"/>
      <c r="O29" s="38"/>
      <c r="P29" s="38"/>
      <c r="Q29" s="38"/>
      <c r="R29" s="38"/>
      <c r="S29" s="38"/>
      <c r="T29" s="39"/>
      <c r="U29" s="39"/>
      <c r="V29" s="39"/>
      <c r="W29" s="39"/>
      <c r="X29" s="39"/>
      <c r="Y29" s="39"/>
      <c r="Z29" s="39"/>
      <c r="AA29" s="39"/>
      <c r="AB29" s="38"/>
      <c r="AC29" s="38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</row>
    <row r="30" spans="1:83" ht="14.25" customHeight="1" x14ac:dyDescent="0.25">
      <c r="A30" s="14"/>
      <c r="B30" s="14"/>
      <c r="C30" s="29"/>
      <c r="D30" s="14"/>
      <c r="E30" s="14"/>
      <c r="F30" s="29"/>
      <c r="G30" s="29"/>
      <c r="H30" s="37"/>
      <c r="I30" s="37"/>
      <c r="J30" s="37"/>
      <c r="K30" s="37"/>
      <c r="L30" s="37"/>
      <c r="M30" s="38"/>
      <c r="N30" s="38"/>
      <c r="O30" s="38"/>
      <c r="P30" s="38"/>
      <c r="Q30" s="38"/>
      <c r="R30" s="38"/>
      <c r="S30" s="38"/>
      <c r="T30" s="39"/>
      <c r="U30" s="39"/>
      <c r="V30" s="39"/>
      <c r="W30" s="39"/>
      <c r="X30" s="39"/>
      <c r="Y30" s="39"/>
      <c r="Z30" s="39"/>
      <c r="AA30" s="39"/>
      <c r="AB30" s="38"/>
      <c r="AC30" s="38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</row>
    <row r="31" spans="1:83" ht="14.25" customHeight="1" x14ac:dyDescent="0.25">
      <c r="A31" s="14"/>
      <c r="B31" s="14"/>
      <c r="C31" s="29"/>
      <c r="D31" s="14"/>
      <c r="E31" s="14"/>
      <c r="F31" s="29"/>
      <c r="G31" s="29"/>
      <c r="H31" s="37"/>
      <c r="I31" s="37"/>
      <c r="J31" s="37"/>
      <c r="K31" s="37"/>
      <c r="L31" s="37"/>
      <c r="M31" s="38"/>
      <c r="N31" s="38"/>
      <c r="O31" s="38"/>
      <c r="P31" s="38"/>
      <c r="Q31" s="38"/>
      <c r="R31" s="38"/>
      <c r="S31" s="38"/>
      <c r="T31" s="39"/>
      <c r="U31" s="39"/>
      <c r="V31" s="39"/>
      <c r="W31" s="39"/>
      <c r="X31" s="39"/>
      <c r="Y31" s="39"/>
      <c r="Z31" s="39"/>
      <c r="AA31" s="39"/>
      <c r="AB31" s="38"/>
      <c r="AC31" s="38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</row>
    <row r="32" spans="1:83" ht="14.25" customHeight="1" x14ac:dyDescent="0.25">
      <c r="A32" s="14"/>
      <c r="B32" s="14"/>
      <c r="C32" s="29"/>
      <c r="D32" s="29"/>
      <c r="E32" s="29"/>
      <c r="F32" s="42"/>
      <c r="G32" s="42"/>
      <c r="H32" s="37"/>
      <c r="I32" s="37"/>
      <c r="J32" s="37"/>
      <c r="K32" s="37"/>
      <c r="L32" s="37"/>
      <c r="M32" s="38"/>
      <c r="N32" s="38"/>
      <c r="O32" s="38"/>
      <c r="P32" s="38"/>
      <c r="Q32" s="38"/>
      <c r="R32" s="38"/>
      <c r="S32" s="38"/>
      <c r="T32" s="39"/>
      <c r="U32" s="39"/>
      <c r="V32" s="39"/>
      <c r="W32" s="39"/>
      <c r="X32" s="39"/>
      <c r="Y32" s="39"/>
      <c r="Z32" s="39"/>
      <c r="AA32" s="39"/>
      <c r="AB32" s="38"/>
      <c r="AC32" s="38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</row>
    <row r="33" spans="1:83" ht="14.25" customHeight="1" x14ac:dyDescent="0.25">
      <c r="A33" s="14"/>
      <c r="B33" s="14"/>
      <c r="C33" s="29"/>
      <c r="D33" s="29"/>
      <c r="E33" s="29"/>
      <c r="F33" s="29"/>
      <c r="G33" s="29"/>
      <c r="H33" s="43"/>
      <c r="I33" s="43"/>
      <c r="J33" s="43"/>
      <c r="K33" s="43"/>
      <c r="L33" s="43"/>
      <c r="M33" s="44"/>
      <c r="N33" s="44"/>
      <c r="O33" s="44"/>
      <c r="P33" s="44"/>
      <c r="Q33" s="44"/>
      <c r="R33" s="44"/>
      <c r="S33" s="44"/>
      <c r="T33" s="45"/>
      <c r="U33" s="45"/>
      <c r="V33" s="45"/>
      <c r="W33" s="45"/>
      <c r="X33" s="45"/>
      <c r="Y33" s="45"/>
      <c r="Z33" s="45"/>
      <c r="AA33" s="45"/>
      <c r="AB33" s="44"/>
      <c r="AC33" s="44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  <c r="CD33" s="43"/>
      <c r="CE33" s="43"/>
    </row>
    <row r="34" spans="1:83" ht="14.25" customHeight="1" x14ac:dyDescent="0.25">
      <c r="A34" s="14"/>
      <c r="B34" s="14"/>
      <c r="C34" s="29"/>
      <c r="D34" s="14"/>
      <c r="E34" s="14"/>
      <c r="F34" s="29"/>
      <c r="G34" s="29"/>
      <c r="H34" s="43"/>
      <c r="I34" s="43"/>
      <c r="J34" s="43"/>
      <c r="K34" s="43"/>
      <c r="L34" s="43"/>
      <c r="M34" s="44"/>
      <c r="N34" s="44"/>
      <c r="O34" s="44"/>
      <c r="P34" s="44"/>
      <c r="Q34" s="44"/>
      <c r="R34" s="44"/>
      <c r="S34" s="44"/>
      <c r="T34" s="45"/>
      <c r="U34" s="45"/>
      <c r="V34" s="45"/>
      <c r="W34" s="45"/>
      <c r="X34" s="45"/>
      <c r="Y34" s="45"/>
      <c r="Z34" s="45"/>
      <c r="AA34" s="45"/>
      <c r="AB34" s="44"/>
      <c r="AC34" s="44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  <c r="CD34" s="43"/>
      <c r="CE34" s="43"/>
    </row>
    <row r="35" spans="1:83" ht="14.25" customHeight="1" x14ac:dyDescent="0.25">
      <c r="A35" s="14"/>
      <c r="B35" s="14"/>
      <c r="C35" s="29"/>
      <c r="D35" s="29"/>
      <c r="E35" s="29"/>
      <c r="F35" s="42"/>
      <c r="G35" s="42"/>
      <c r="H35" s="43"/>
      <c r="I35" s="43"/>
      <c r="J35" s="43"/>
      <c r="K35" s="43"/>
      <c r="L35" s="43"/>
      <c r="M35" s="44"/>
      <c r="N35" s="44"/>
      <c r="O35" s="44"/>
      <c r="P35" s="44"/>
      <c r="Q35" s="44"/>
      <c r="R35" s="44"/>
      <c r="S35" s="44"/>
      <c r="T35" s="45"/>
      <c r="U35" s="45"/>
      <c r="V35" s="45"/>
      <c r="W35" s="45"/>
      <c r="X35" s="45"/>
      <c r="Y35" s="45"/>
      <c r="Z35" s="45"/>
      <c r="AA35" s="45"/>
      <c r="AB35" s="44"/>
      <c r="AC35" s="44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  <c r="CD35" s="43"/>
      <c r="CE35" s="43"/>
    </row>
    <row r="36" spans="1:83" ht="14.25" customHeight="1" x14ac:dyDescent="0.25">
      <c r="A36" s="14"/>
      <c r="B36" s="14"/>
      <c r="C36" s="29"/>
      <c r="D36" s="29"/>
      <c r="E36" s="29"/>
      <c r="F36" s="42"/>
      <c r="G36" s="42"/>
      <c r="H36" s="43"/>
      <c r="I36" s="43"/>
      <c r="J36" s="43"/>
      <c r="K36" s="43"/>
      <c r="L36" s="43"/>
      <c r="M36" s="44"/>
      <c r="N36" s="44"/>
      <c r="O36" s="44"/>
      <c r="P36" s="44"/>
      <c r="Q36" s="44"/>
      <c r="R36" s="44"/>
      <c r="S36" s="44"/>
      <c r="T36" s="45"/>
      <c r="U36" s="45"/>
      <c r="V36" s="45"/>
      <c r="W36" s="45"/>
      <c r="X36" s="45"/>
      <c r="Y36" s="45"/>
      <c r="Z36" s="45"/>
      <c r="AA36" s="45"/>
      <c r="AB36" s="44"/>
      <c r="AC36" s="44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  <c r="CD36" s="43"/>
      <c r="CE36" s="43"/>
    </row>
    <row r="37" spans="1:83" ht="14.25" customHeight="1" x14ac:dyDescent="0.25">
      <c r="A37" s="14"/>
      <c r="B37" s="14"/>
      <c r="C37" s="29"/>
      <c r="D37" s="29"/>
      <c r="E37" s="29"/>
      <c r="F37" s="29"/>
      <c r="G37" s="29"/>
      <c r="H37" s="43"/>
      <c r="I37" s="43"/>
      <c r="J37" s="43"/>
      <c r="K37" s="43"/>
      <c r="L37" s="43"/>
      <c r="M37" s="44"/>
      <c r="N37" s="44"/>
      <c r="O37" s="44"/>
      <c r="P37" s="44"/>
      <c r="Q37" s="44"/>
      <c r="R37" s="44"/>
      <c r="S37" s="44"/>
      <c r="T37" s="45"/>
      <c r="U37" s="45"/>
      <c r="V37" s="45"/>
      <c r="W37" s="45"/>
      <c r="X37" s="45"/>
      <c r="Y37" s="45"/>
      <c r="Z37" s="45"/>
      <c r="AA37" s="45"/>
      <c r="AB37" s="44"/>
      <c r="AC37" s="44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  <c r="CD37" s="43"/>
      <c r="CE37" s="43"/>
    </row>
    <row r="38" spans="1:83" ht="14.25" customHeight="1" x14ac:dyDescent="0.25">
      <c r="A38" s="14"/>
      <c r="B38" s="14"/>
      <c r="C38" s="29"/>
      <c r="D38" s="14"/>
      <c r="E38" s="14"/>
      <c r="F38" s="29"/>
      <c r="G38" s="29"/>
      <c r="H38" s="43"/>
      <c r="I38" s="43"/>
      <c r="J38" s="43"/>
      <c r="K38" s="43"/>
      <c r="L38" s="43"/>
      <c r="M38" s="44"/>
      <c r="N38" s="44"/>
      <c r="O38" s="44"/>
      <c r="P38" s="44"/>
      <c r="Q38" s="44"/>
      <c r="R38" s="44"/>
      <c r="S38" s="44"/>
      <c r="T38" s="45"/>
      <c r="U38" s="45"/>
      <c r="V38" s="45"/>
      <c r="W38" s="45"/>
      <c r="X38" s="45"/>
      <c r="Y38" s="45"/>
      <c r="Z38" s="45"/>
      <c r="AA38" s="45"/>
      <c r="AB38" s="44"/>
      <c r="AC38" s="44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  <c r="CD38" s="43"/>
      <c r="CE38" s="43"/>
    </row>
    <row r="39" spans="1:83" ht="14.25" customHeight="1" x14ac:dyDescent="0.25">
      <c r="A39" s="14"/>
      <c r="B39" s="14"/>
      <c r="C39" s="29"/>
      <c r="D39" s="14"/>
      <c r="E39" s="14"/>
      <c r="F39" s="29"/>
      <c r="G39" s="29"/>
      <c r="H39" s="43"/>
      <c r="I39" s="43"/>
      <c r="J39" s="43"/>
      <c r="K39" s="43"/>
      <c r="L39" s="43"/>
      <c r="M39" s="44"/>
      <c r="N39" s="44"/>
      <c r="O39" s="44"/>
      <c r="P39" s="44"/>
      <c r="Q39" s="44"/>
      <c r="R39" s="44"/>
      <c r="S39" s="44"/>
      <c r="T39" s="45"/>
      <c r="U39" s="45"/>
      <c r="V39" s="45"/>
      <c r="W39" s="45"/>
      <c r="X39" s="45"/>
      <c r="Y39" s="45"/>
      <c r="Z39" s="45"/>
      <c r="AA39" s="45"/>
      <c r="AB39" s="44"/>
      <c r="AC39" s="44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  <c r="CD39" s="43"/>
      <c r="CE39" s="43"/>
    </row>
    <row r="40" spans="1:83" ht="14.25" customHeight="1" x14ac:dyDescent="0.25">
      <c r="A40" s="14"/>
      <c r="B40" s="14"/>
      <c r="C40" s="29"/>
      <c r="D40" s="29"/>
      <c r="E40" s="29"/>
      <c r="F40" s="29"/>
      <c r="G40" s="29"/>
      <c r="H40" s="43"/>
      <c r="I40" s="43"/>
      <c r="J40" s="43"/>
      <c r="K40" s="43"/>
      <c r="L40" s="43"/>
      <c r="M40" s="44"/>
      <c r="N40" s="44"/>
      <c r="O40" s="44"/>
      <c r="P40" s="44"/>
      <c r="Q40" s="44"/>
      <c r="R40" s="44"/>
      <c r="S40" s="44"/>
      <c r="T40" s="45"/>
      <c r="U40" s="45"/>
      <c r="V40" s="45"/>
      <c r="W40" s="45"/>
      <c r="X40" s="45"/>
      <c r="Y40" s="45"/>
      <c r="Z40" s="45"/>
      <c r="AA40" s="45"/>
      <c r="AB40" s="44"/>
      <c r="AC40" s="44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43"/>
      <c r="BZ40" s="43"/>
      <c r="CA40" s="43"/>
      <c r="CB40" s="43"/>
      <c r="CC40" s="43"/>
      <c r="CD40" s="43"/>
      <c r="CE40" s="43"/>
    </row>
    <row r="41" spans="1:83" ht="14.25" customHeight="1" x14ac:dyDescent="0.25">
      <c r="A41" s="14"/>
      <c r="B41" s="14"/>
      <c r="C41" s="29"/>
      <c r="D41" s="14"/>
      <c r="E41" s="14"/>
      <c r="F41" s="29"/>
      <c r="G41" s="29"/>
      <c r="H41" s="43"/>
      <c r="I41" s="43"/>
      <c r="J41" s="43"/>
      <c r="K41" s="43"/>
      <c r="L41" s="43"/>
      <c r="M41" s="44"/>
      <c r="N41" s="44"/>
      <c r="O41" s="44"/>
      <c r="P41" s="44"/>
      <c r="Q41" s="44"/>
      <c r="R41" s="44"/>
      <c r="S41" s="44"/>
      <c r="T41" s="45"/>
      <c r="U41" s="45"/>
      <c r="V41" s="45"/>
      <c r="W41" s="45"/>
      <c r="X41" s="45"/>
      <c r="Y41" s="45"/>
      <c r="Z41" s="45"/>
      <c r="AA41" s="45"/>
      <c r="AB41" s="44"/>
      <c r="AC41" s="44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  <c r="BU41" s="43"/>
      <c r="BV41" s="43"/>
      <c r="BW41" s="43"/>
      <c r="BX41" s="43"/>
      <c r="BY41" s="43"/>
      <c r="BZ41" s="43"/>
      <c r="CA41" s="43"/>
      <c r="CB41" s="43"/>
      <c r="CC41" s="43"/>
      <c r="CD41" s="43"/>
      <c r="CE41" s="43"/>
    </row>
    <row r="42" spans="1:83" ht="14.25" customHeight="1" x14ac:dyDescent="0.25">
      <c r="A42" s="14"/>
      <c r="B42" s="14"/>
      <c r="C42" s="29"/>
      <c r="D42" s="14"/>
      <c r="E42" s="14"/>
      <c r="F42" s="29"/>
      <c r="G42" s="29"/>
      <c r="H42" s="43"/>
      <c r="I42" s="43"/>
      <c r="J42" s="43"/>
      <c r="K42" s="43"/>
      <c r="L42" s="43"/>
      <c r="M42" s="44"/>
      <c r="N42" s="44"/>
      <c r="O42" s="44"/>
      <c r="P42" s="44"/>
      <c r="Q42" s="44"/>
      <c r="R42" s="44"/>
      <c r="S42" s="44"/>
      <c r="T42" s="45"/>
      <c r="U42" s="45"/>
      <c r="V42" s="45"/>
      <c r="W42" s="45"/>
      <c r="X42" s="45"/>
      <c r="Y42" s="45"/>
      <c r="Z42" s="45"/>
      <c r="AA42" s="45"/>
      <c r="AB42" s="44"/>
      <c r="AC42" s="44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  <c r="BJ42" s="43"/>
      <c r="BK42" s="43"/>
      <c r="BL42" s="43"/>
      <c r="BM42" s="43"/>
      <c r="BN42" s="43"/>
      <c r="BO42" s="43"/>
      <c r="BP42" s="43"/>
      <c r="BQ42" s="43"/>
      <c r="BR42" s="43"/>
      <c r="BS42" s="43"/>
      <c r="BT42" s="43"/>
      <c r="BU42" s="43"/>
      <c r="BV42" s="43"/>
      <c r="BW42" s="43"/>
      <c r="BX42" s="43"/>
      <c r="BY42" s="43"/>
      <c r="BZ42" s="43"/>
      <c r="CA42" s="43"/>
      <c r="CB42" s="43"/>
      <c r="CC42" s="43"/>
      <c r="CD42" s="43"/>
      <c r="CE42" s="43"/>
    </row>
    <row r="43" spans="1:83" ht="14.25" customHeight="1" x14ac:dyDescent="0.25">
      <c r="A43" s="14"/>
      <c r="B43" s="14"/>
      <c r="C43" s="29"/>
      <c r="D43" s="14"/>
      <c r="E43" s="14"/>
      <c r="F43" s="29"/>
      <c r="G43" s="29"/>
      <c r="H43" s="43"/>
      <c r="I43" s="43"/>
      <c r="J43" s="43"/>
      <c r="K43" s="43"/>
      <c r="L43" s="43"/>
      <c r="M43" s="44"/>
      <c r="N43" s="44"/>
      <c r="O43" s="44"/>
      <c r="P43" s="44"/>
      <c r="Q43" s="44"/>
      <c r="R43" s="44"/>
      <c r="S43" s="44"/>
      <c r="T43" s="45"/>
      <c r="U43" s="45"/>
      <c r="V43" s="45"/>
      <c r="W43" s="45"/>
      <c r="X43" s="45"/>
      <c r="Y43" s="45"/>
      <c r="Z43" s="45"/>
      <c r="AA43" s="45"/>
      <c r="AB43" s="44"/>
      <c r="AC43" s="44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  <c r="BU43" s="43"/>
      <c r="BV43" s="43"/>
      <c r="BW43" s="43"/>
      <c r="BX43" s="43"/>
      <c r="BY43" s="43"/>
      <c r="BZ43" s="43"/>
      <c r="CA43" s="43"/>
      <c r="CB43" s="43"/>
      <c r="CC43" s="43"/>
      <c r="CD43" s="43"/>
      <c r="CE43" s="43"/>
    </row>
    <row r="44" spans="1:83" ht="14.25" customHeight="1" x14ac:dyDescent="0.25">
      <c r="A44" s="14"/>
      <c r="B44" s="14"/>
      <c r="C44" s="29"/>
      <c r="D44" s="29"/>
      <c r="E44" s="29"/>
      <c r="F44" s="42"/>
      <c r="G44" s="42"/>
      <c r="H44" s="43"/>
      <c r="I44" s="43"/>
      <c r="J44" s="43"/>
      <c r="K44" s="43"/>
      <c r="L44" s="43"/>
      <c r="M44" s="44"/>
      <c r="N44" s="44"/>
      <c r="O44" s="44"/>
      <c r="P44" s="44"/>
      <c r="Q44" s="44"/>
      <c r="R44" s="44"/>
      <c r="S44" s="44"/>
      <c r="T44" s="45"/>
      <c r="U44" s="45"/>
      <c r="V44" s="45"/>
      <c r="W44" s="45"/>
      <c r="X44" s="45"/>
      <c r="Y44" s="45"/>
      <c r="Z44" s="45"/>
      <c r="AA44" s="45"/>
      <c r="AB44" s="44"/>
      <c r="AC44" s="44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  <c r="BJ44" s="43"/>
      <c r="BK44" s="43"/>
      <c r="BL44" s="43"/>
      <c r="BM44" s="43"/>
      <c r="BN44" s="43"/>
      <c r="BO44" s="43"/>
      <c r="BP44" s="43"/>
      <c r="BQ44" s="43"/>
      <c r="BR44" s="43"/>
      <c r="BS44" s="43"/>
      <c r="BT44" s="43"/>
      <c r="BU44" s="43"/>
      <c r="BV44" s="43"/>
      <c r="BW44" s="43"/>
      <c r="BX44" s="43"/>
      <c r="BY44" s="43"/>
      <c r="BZ44" s="43"/>
      <c r="CA44" s="43"/>
      <c r="CB44" s="43"/>
      <c r="CC44" s="43"/>
      <c r="CD44" s="43"/>
      <c r="CE44" s="43"/>
    </row>
    <row r="45" spans="1:83" ht="14.25" customHeight="1" x14ac:dyDescent="0.25">
      <c r="A45" s="14"/>
      <c r="B45" s="14"/>
      <c r="C45" s="29"/>
      <c r="D45" s="29"/>
      <c r="E45" s="29"/>
      <c r="F45" s="29"/>
      <c r="G45" s="29"/>
      <c r="H45" s="43"/>
      <c r="I45" s="43"/>
      <c r="J45" s="43"/>
      <c r="K45" s="43"/>
      <c r="L45" s="43"/>
      <c r="M45" s="44"/>
      <c r="N45" s="44"/>
      <c r="O45" s="44"/>
      <c r="P45" s="44"/>
      <c r="Q45" s="44"/>
      <c r="R45" s="44"/>
      <c r="S45" s="44"/>
      <c r="T45" s="45"/>
      <c r="U45" s="45"/>
      <c r="V45" s="45"/>
      <c r="W45" s="45"/>
      <c r="X45" s="45"/>
      <c r="Y45" s="45"/>
      <c r="Z45" s="45"/>
      <c r="AA45" s="45"/>
      <c r="AB45" s="44"/>
      <c r="AC45" s="44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  <c r="BU45" s="43"/>
      <c r="BV45" s="43"/>
      <c r="BW45" s="43"/>
      <c r="BX45" s="43"/>
      <c r="BY45" s="43"/>
      <c r="BZ45" s="43"/>
      <c r="CA45" s="43"/>
      <c r="CB45" s="43"/>
      <c r="CC45" s="43"/>
      <c r="CD45" s="43"/>
      <c r="CE45" s="43"/>
    </row>
    <row r="46" spans="1:83" ht="14.25" customHeight="1" x14ac:dyDescent="0.25">
      <c r="A46" s="14"/>
      <c r="B46" s="14"/>
      <c r="C46" s="29"/>
      <c r="D46" s="14"/>
      <c r="E46" s="14"/>
      <c r="F46" s="29"/>
      <c r="G46" s="29"/>
      <c r="H46" s="43"/>
      <c r="I46" s="43"/>
      <c r="J46" s="43"/>
      <c r="K46" s="43"/>
      <c r="L46" s="43"/>
      <c r="M46" s="44"/>
      <c r="N46" s="44"/>
      <c r="O46" s="44"/>
      <c r="P46" s="44"/>
      <c r="Q46" s="44"/>
      <c r="R46" s="44"/>
      <c r="S46" s="44"/>
      <c r="T46" s="45"/>
      <c r="U46" s="45"/>
      <c r="V46" s="45"/>
      <c r="W46" s="45"/>
      <c r="X46" s="45"/>
      <c r="Y46" s="45"/>
      <c r="Z46" s="45"/>
      <c r="AA46" s="45"/>
      <c r="AB46" s="44"/>
      <c r="AC46" s="44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43"/>
      <c r="BL46" s="43"/>
      <c r="BM46" s="43"/>
      <c r="BN46" s="43"/>
      <c r="BO46" s="43"/>
      <c r="BP46" s="43"/>
      <c r="BQ46" s="43"/>
      <c r="BR46" s="43"/>
      <c r="BS46" s="43"/>
      <c r="BT46" s="43"/>
      <c r="BU46" s="43"/>
      <c r="BV46" s="43"/>
      <c r="BW46" s="43"/>
      <c r="BX46" s="43"/>
      <c r="BY46" s="43"/>
      <c r="BZ46" s="43"/>
      <c r="CA46" s="43"/>
      <c r="CB46" s="43"/>
      <c r="CC46" s="43"/>
      <c r="CD46" s="43"/>
      <c r="CE46" s="43"/>
    </row>
    <row r="47" spans="1:83" ht="14.25" customHeight="1" x14ac:dyDescent="0.25">
      <c r="A47" s="14"/>
      <c r="B47" s="14"/>
      <c r="C47" s="29"/>
      <c r="D47" s="14"/>
      <c r="E47" s="14"/>
      <c r="F47" s="29"/>
      <c r="G47" s="29"/>
      <c r="H47" s="43"/>
      <c r="I47" s="43"/>
      <c r="J47" s="43"/>
      <c r="K47" s="43"/>
      <c r="L47" s="43"/>
      <c r="M47" s="44"/>
      <c r="N47" s="44"/>
      <c r="O47" s="44"/>
      <c r="P47" s="44"/>
      <c r="Q47" s="44"/>
      <c r="R47" s="44"/>
      <c r="S47" s="44"/>
      <c r="T47" s="45"/>
      <c r="U47" s="45"/>
      <c r="V47" s="45"/>
      <c r="W47" s="45"/>
      <c r="X47" s="45"/>
      <c r="Y47" s="45"/>
      <c r="Z47" s="45"/>
      <c r="AA47" s="45"/>
      <c r="AB47" s="44"/>
      <c r="AC47" s="44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  <c r="BJ47" s="43"/>
      <c r="BK47" s="43"/>
      <c r="BL47" s="43"/>
      <c r="BM47" s="43"/>
      <c r="BN47" s="43"/>
      <c r="BO47" s="43"/>
      <c r="BP47" s="43"/>
      <c r="BQ47" s="43"/>
      <c r="BR47" s="43"/>
      <c r="BS47" s="43"/>
      <c r="BT47" s="43"/>
      <c r="BU47" s="43"/>
      <c r="BV47" s="43"/>
      <c r="BW47" s="43"/>
      <c r="BX47" s="43"/>
      <c r="BY47" s="43"/>
      <c r="BZ47" s="43"/>
      <c r="CA47" s="43"/>
      <c r="CB47" s="43"/>
      <c r="CC47" s="43"/>
      <c r="CD47" s="43"/>
      <c r="CE47" s="43"/>
    </row>
    <row r="48" spans="1:83" ht="14.25" customHeight="1" x14ac:dyDescent="0.25">
      <c r="A48" s="14"/>
      <c r="B48" s="14"/>
      <c r="C48" s="29"/>
      <c r="D48" s="14"/>
      <c r="E48" s="14"/>
      <c r="F48" s="29"/>
      <c r="G48" s="29"/>
      <c r="H48" s="43"/>
      <c r="I48" s="43"/>
      <c r="J48" s="43"/>
      <c r="K48" s="43"/>
      <c r="L48" s="43"/>
      <c r="M48" s="44"/>
      <c r="N48" s="44"/>
      <c r="O48" s="44"/>
      <c r="P48" s="44"/>
      <c r="Q48" s="44"/>
      <c r="R48" s="44"/>
      <c r="S48" s="44"/>
      <c r="T48" s="45"/>
      <c r="U48" s="45"/>
      <c r="V48" s="45"/>
      <c r="W48" s="45"/>
      <c r="X48" s="45"/>
      <c r="Y48" s="45"/>
      <c r="Z48" s="45"/>
      <c r="AA48" s="45"/>
      <c r="AB48" s="44"/>
      <c r="AC48" s="44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/>
      <c r="BR48" s="43"/>
      <c r="BS48" s="43"/>
      <c r="BT48" s="43"/>
      <c r="BU48" s="43"/>
      <c r="BV48" s="43"/>
      <c r="BW48" s="43"/>
      <c r="BX48" s="43"/>
      <c r="BY48" s="43"/>
      <c r="BZ48" s="43"/>
      <c r="CA48" s="43"/>
      <c r="CB48" s="43"/>
      <c r="CC48" s="43"/>
      <c r="CD48" s="43"/>
      <c r="CE48" s="43"/>
    </row>
    <row r="49" spans="1:83" ht="14.25" customHeight="1" x14ac:dyDescent="0.25">
      <c r="A49" s="14"/>
      <c r="B49" s="14"/>
      <c r="C49" s="29"/>
      <c r="D49" s="14"/>
      <c r="E49" s="14"/>
      <c r="F49" s="29"/>
      <c r="G49" s="29"/>
      <c r="H49" s="43"/>
      <c r="I49" s="43"/>
      <c r="J49" s="43"/>
      <c r="K49" s="43"/>
      <c r="L49" s="43"/>
      <c r="M49" s="44"/>
      <c r="N49" s="44"/>
      <c r="O49" s="44"/>
      <c r="P49" s="44"/>
      <c r="Q49" s="44"/>
      <c r="R49" s="44"/>
      <c r="S49" s="44"/>
      <c r="T49" s="45"/>
      <c r="U49" s="45"/>
      <c r="V49" s="45"/>
      <c r="W49" s="45"/>
      <c r="X49" s="45"/>
      <c r="Y49" s="45"/>
      <c r="Z49" s="45"/>
      <c r="AA49" s="45"/>
      <c r="AB49" s="44"/>
      <c r="AC49" s="44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/>
      <c r="BR49" s="43"/>
      <c r="BS49" s="43"/>
      <c r="BT49" s="43"/>
      <c r="BU49" s="43"/>
      <c r="BV49" s="43"/>
      <c r="BW49" s="43"/>
      <c r="BX49" s="43"/>
      <c r="BY49" s="43"/>
      <c r="BZ49" s="43"/>
      <c r="CA49" s="43"/>
      <c r="CB49" s="43"/>
      <c r="CC49" s="43"/>
      <c r="CD49" s="43"/>
      <c r="CE49" s="43"/>
    </row>
    <row r="50" spans="1:83" ht="14.25" customHeight="1" x14ac:dyDescent="0.25">
      <c r="A50" s="14"/>
      <c r="B50" s="14"/>
      <c r="C50" s="29"/>
      <c r="D50" s="14"/>
      <c r="E50" s="14"/>
      <c r="F50" s="42"/>
      <c r="G50" s="42"/>
      <c r="H50" s="43"/>
      <c r="I50" s="43"/>
      <c r="J50" s="43"/>
      <c r="K50" s="43"/>
      <c r="L50" s="43"/>
      <c r="M50" s="44"/>
      <c r="N50" s="44"/>
      <c r="O50" s="44"/>
      <c r="P50" s="44"/>
      <c r="Q50" s="44"/>
      <c r="R50" s="44"/>
      <c r="S50" s="44"/>
      <c r="T50" s="45"/>
      <c r="U50" s="45"/>
      <c r="V50" s="45"/>
      <c r="W50" s="45"/>
      <c r="X50" s="45"/>
      <c r="Y50" s="45"/>
      <c r="Z50" s="45"/>
      <c r="AA50" s="45"/>
      <c r="AB50" s="44"/>
      <c r="AC50" s="44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43"/>
      <c r="BL50" s="43"/>
      <c r="BM50" s="43"/>
      <c r="BN50" s="43"/>
      <c r="BO50" s="43"/>
      <c r="BP50" s="43"/>
      <c r="BQ50" s="43"/>
      <c r="BR50" s="43"/>
      <c r="BS50" s="43"/>
      <c r="BT50" s="43"/>
      <c r="BU50" s="43"/>
      <c r="BV50" s="43"/>
      <c r="BW50" s="43"/>
      <c r="BX50" s="43"/>
      <c r="BY50" s="43"/>
      <c r="BZ50" s="43"/>
      <c r="CA50" s="43"/>
      <c r="CB50" s="43"/>
      <c r="CC50" s="43"/>
      <c r="CD50" s="43"/>
      <c r="CE50" s="43"/>
    </row>
    <row r="51" spans="1:83" ht="14.25" customHeight="1" x14ac:dyDescent="0.25">
      <c r="A51" s="14"/>
      <c r="B51" s="14"/>
      <c r="C51" s="29"/>
      <c r="D51" s="29"/>
      <c r="E51" s="29"/>
      <c r="F51" s="42"/>
      <c r="G51" s="42"/>
      <c r="H51" s="43"/>
      <c r="I51" s="43"/>
      <c r="J51" s="43"/>
      <c r="K51" s="43"/>
      <c r="L51" s="43"/>
      <c r="M51" s="44"/>
      <c r="N51" s="44"/>
      <c r="O51" s="44"/>
      <c r="P51" s="44"/>
      <c r="Q51" s="44"/>
      <c r="R51" s="44"/>
      <c r="S51" s="44"/>
      <c r="T51" s="45"/>
      <c r="U51" s="45"/>
      <c r="V51" s="45"/>
      <c r="W51" s="45"/>
      <c r="X51" s="45"/>
      <c r="Y51" s="45"/>
      <c r="Z51" s="45"/>
      <c r="AA51" s="45"/>
      <c r="AB51" s="44"/>
      <c r="AC51" s="44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  <c r="BU51" s="43"/>
      <c r="BV51" s="43"/>
      <c r="BW51" s="43"/>
      <c r="BX51" s="43"/>
      <c r="BY51" s="43"/>
      <c r="BZ51" s="43"/>
      <c r="CA51" s="43"/>
      <c r="CB51" s="43"/>
      <c r="CC51" s="43"/>
      <c r="CD51" s="43"/>
      <c r="CE51" s="43"/>
    </row>
    <row r="52" spans="1:83" ht="14.25" customHeight="1" x14ac:dyDescent="0.25">
      <c r="A52" s="14"/>
      <c r="B52" s="14"/>
      <c r="C52" s="29"/>
      <c r="D52" s="14"/>
      <c r="E52" s="14"/>
      <c r="F52" s="42"/>
      <c r="G52" s="42"/>
      <c r="H52" s="43"/>
      <c r="I52" s="43"/>
      <c r="J52" s="43"/>
      <c r="K52" s="43"/>
      <c r="L52" s="43"/>
      <c r="M52" s="44"/>
      <c r="N52" s="44"/>
      <c r="O52" s="44"/>
      <c r="P52" s="44"/>
      <c r="Q52" s="44"/>
      <c r="R52" s="44"/>
      <c r="S52" s="44"/>
      <c r="T52" s="45"/>
      <c r="U52" s="45"/>
      <c r="V52" s="45"/>
      <c r="W52" s="45"/>
      <c r="X52" s="45"/>
      <c r="Y52" s="45"/>
      <c r="Z52" s="45"/>
      <c r="AA52" s="45"/>
      <c r="AB52" s="44"/>
      <c r="AC52" s="44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43"/>
      <c r="BL52" s="43"/>
      <c r="BM52" s="43"/>
      <c r="BN52" s="43"/>
      <c r="BO52" s="43"/>
      <c r="BP52" s="43"/>
      <c r="BQ52" s="43"/>
      <c r="BR52" s="43"/>
      <c r="BS52" s="43"/>
      <c r="BT52" s="43"/>
      <c r="BU52" s="43"/>
      <c r="BV52" s="43"/>
      <c r="BW52" s="43"/>
      <c r="BX52" s="43"/>
      <c r="BY52" s="43"/>
      <c r="BZ52" s="43"/>
      <c r="CA52" s="43"/>
      <c r="CB52" s="43"/>
      <c r="CC52" s="43"/>
      <c r="CD52" s="43"/>
      <c r="CE52" s="43"/>
    </row>
    <row r="53" spans="1:83" ht="14.25" customHeight="1" x14ac:dyDescent="0.25">
      <c r="A53" s="14"/>
      <c r="B53" s="14"/>
      <c r="C53" s="29"/>
      <c r="D53" s="14"/>
      <c r="E53" s="14"/>
      <c r="F53" s="42"/>
      <c r="G53" s="42"/>
      <c r="H53" s="43"/>
      <c r="I53" s="43"/>
      <c r="J53" s="43"/>
      <c r="K53" s="43"/>
      <c r="L53" s="43"/>
      <c r="M53" s="44"/>
      <c r="N53" s="44"/>
      <c r="O53" s="44"/>
      <c r="P53" s="44"/>
      <c r="Q53" s="44"/>
      <c r="R53" s="44"/>
      <c r="S53" s="44"/>
      <c r="T53" s="45"/>
      <c r="U53" s="45"/>
      <c r="V53" s="45"/>
      <c r="W53" s="45"/>
      <c r="X53" s="45"/>
      <c r="Y53" s="45"/>
      <c r="Z53" s="45"/>
      <c r="AA53" s="45"/>
      <c r="AB53" s="44"/>
      <c r="AC53" s="44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  <c r="BU53" s="43"/>
      <c r="BV53" s="43"/>
      <c r="BW53" s="43"/>
      <c r="BX53" s="43"/>
      <c r="BY53" s="43"/>
      <c r="BZ53" s="43"/>
      <c r="CA53" s="43"/>
      <c r="CB53" s="43"/>
      <c r="CC53" s="43"/>
      <c r="CD53" s="43"/>
      <c r="CE53" s="43"/>
    </row>
    <row r="54" spans="1:83" ht="14.25" customHeight="1" x14ac:dyDescent="0.25">
      <c r="A54" s="14"/>
      <c r="B54" s="14"/>
      <c r="C54" s="29"/>
      <c r="D54" s="14"/>
      <c r="E54" s="14"/>
      <c r="F54" s="42"/>
      <c r="G54" s="42"/>
      <c r="H54" s="43"/>
      <c r="I54" s="43"/>
      <c r="J54" s="43"/>
      <c r="K54" s="43"/>
      <c r="L54" s="43"/>
      <c r="M54" s="44"/>
      <c r="N54" s="44"/>
      <c r="O54" s="44"/>
      <c r="P54" s="44"/>
      <c r="Q54" s="44"/>
      <c r="R54" s="44"/>
      <c r="S54" s="44"/>
      <c r="T54" s="45"/>
      <c r="U54" s="45"/>
      <c r="V54" s="45"/>
      <c r="W54" s="45"/>
      <c r="X54" s="45"/>
      <c r="Y54" s="45"/>
      <c r="Z54" s="45"/>
      <c r="AA54" s="45"/>
      <c r="AB54" s="44"/>
      <c r="AC54" s="44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43"/>
      <c r="CE54" s="43"/>
    </row>
    <row r="55" spans="1:83" ht="14.25" customHeight="1" x14ac:dyDescent="0.25">
      <c r="A55" s="14"/>
      <c r="B55" s="14"/>
      <c r="C55" s="29"/>
      <c r="D55" s="14"/>
      <c r="E55" s="14"/>
      <c r="F55" s="42"/>
      <c r="G55" s="42"/>
      <c r="H55" s="43"/>
      <c r="I55" s="43"/>
      <c r="J55" s="43"/>
      <c r="K55" s="43"/>
      <c r="L55" s="43"/>
      <c r="M55" s="44"/>
      <c r="N55" s="44"/>
      <c r="O55" s="44"/>
      <c r="P55" s="44"/>
      <c r="Q55" s="44"/>
      <c r="R55" s="44"/>
      <c r="S55" s="44"/>
      <c r="T55" s="45"/>
      <c r="U55" s="45"/>
      <c r="V55" s="45"/>
      <c r="W55" s="45"/>
      <c r="X55" s="45"/>
      <c r="Y55" s="45"/>
      <c r="Z55" s="45"/>
      <c r="AA55" s="45"/>
      <c r="AB55" s="44"/>
      <c r="AC55" s="44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  <c r="BJ55" s="43"/>
      <c r="BK55" s="43"/>
      <c r="BL55" s="43"/>
      <c r="BM55" s="43"/>
      <c r="BN55" s="43"/>
      <c r="BO55" s="43"/>
      <c r="BP55" s="43"/>
      <c r="BQ55" s="43"/>
      <c r="BR55" s="43"/>
      <c r="BS55" s="43"/>
      <c r="BT55" s="43"/>
      <c r="BU55" s="43"/>
      <c r="BV55" s="43"/>
      <c r="BW55" s="43"/>
      <c r="BX55" s="43"/>
      <c r="BY55" s="43"/>
      <c r="BZ55" s="43"/>
      <c r="CA55" s="43"/>
      <c r="CB55" s="43"/>
      <c r="CC55" s="43"/>
      <c r="CD55" s="43"/>
      <c r="CE55" s="43"/>
    </row>
    <row r="56" spans="1:83" ht="14.25" customHeight="1" x14ac:dyDescent="0.25">
      <c r="A56" s="14"/>
      <c r="B56" s="14"/>
      <c r="C56" s="29"/>
      <c r="D56" s="14"/>
      <c r="E56" s="14"/>
      <c r="F56" s="42"/>
      <c r="G56" s="42"/>
      <c r="H56" s="43"/>
      <c r="I56" s="43"/>
      <c r="J56" s="43"/>
      <c r="K56" s="43"/>
      <c r="L56" s="43"/>
      <c r="M56" s="44"/>
      <c r="N56" s="44"/>
      <c r="O56" s="44"/>
      <c r="P56" s="44"/>
      <c r="Q56" s="44"/>
      <c r="R56" s="44"/>
      <c r="S56" s="44"/>
      <c r="T56" s="45"/>
      <c r="U56" s="45"/>
      <c r="V56" s="45"/>
      <c r="W56" s="45"/>
      <c r="X56" s="45"/>
      <c r="Y56" s="45"/>
      <c r="Z56" s="45"/>
      <c r="AA56" s="45"/>
      <c r="AB56" s="44"/>
      <c r="AC56" s="44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  <c r="BU56" s="43"/>
      <c r="BV56" s="43"/>
      <c r="BW56" s="43"/>
      <c r="BX56" s="43"/>
      <c r="BY56" s="43"/>
      <c r="BZ56" s="43"/>
      <c r="CA56" s="43"/>
      <c r="CB56" s="43"/>
      <c r="CC56" s="43"/>
      <c r="CD56" s="43"/>
      <c r="CE56" s="43"/>
    </row>
    <row r="57" spans="1:83" ht="14.25" customHeight="1" x14ac:dyDescent="0.25">
      <c r="A57" s="14"/>
      <c r="B57" s="14"/>
      <c r="C57" s="29"/>
      <c r="D57" s="14"/>
      <c r="E57" s="14"/>
      <c r="F57" s="42"/>
      <c r="G57" s="42"/>
      <c r="H57" s="43"/>
      <c r="I57" s="43"/>
      <c r="J57" s="43"/>
      <c r="K57" s="43"/>
      <c r="L57" s="43"/>
      <c r="M57" s="44"/>
      <c r="N57" s="44"/>
      <c r="O57" s="44"/>
      <c r="P57" s="44"/>
      <c r="Q57" s="44"/>
      <c r="R57" s="44"/>
      <c r="S57" s="44"/>
      <c r="T57" s="45"/>
      <c r="U57" s="45"/>
      <c r="V57" s="45"/>
      <c r="W57" s="45"/>
      <c r="X57" s="45"/>
      <c r="Y57" s="45"/>
      <c r="Z57" s="45"/>
      <c r="AA57" s="45"/>
      <c r="AB57" s="44"/>
      <c r="AC57" s="44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43"/>
      <c r="BL57" s="43"/>
      <c r="BM57" s="43"/>
      <c r="BN57" s="43"/>
      <c r="BO57" s="43"/>
      <c r="BP57" s="43"/>
      <c r="BQ57" s="43"/>
      <c r="BR57" s="43"/>
      <c r="BS57" s="43"/>
      <c r="BT57" s="43"/>
      <c r="BU57" s="43"/>
      <c r="BV57" s="43"/>
      <c r="BW57" s="43"/>
      <c r="BX57" s="43"/>
      <c r="BY57" s="43"/>
      <c r="BZ57" s="43"/>
      <c r="CA57" s="43"/>
      <c r="CB57" s="43"/>
      <c r="CC57" s="43"/>
      <c r="CD57" s="43"/>
      <c r="CE57" s="43"/>
    </row>
    <row r="58" spans="1:83" ht="14.25" customHeight="1" x14ac:dyDescent="0.25">
      <c r="A58" s="14"/>
      <c r="B58" s="14"/>
      <c r="C58" s="29"/>
      <c r="D58" s="14"/>
      <c r="E58" s="14"/>
      <c r="F58" s="42"/>
      <c r="G58" s="42"/>
      <c r="H58" s="43"/>
      <c r="I58" s="43"/>
      <c r="J58" s="43"/>
      <c r="K58" s="43"/>
      <c r="L58" s="43"/>
      <c r="M58" s="44"/>
      <c r="N58" s="44"/>
      <c r="O58" s="44"/>
      <c r="P58" s="44"/>
      <c r="Q58" s="44"/>
      <c r="R58" s="44"/>
      <c r="S58" s="44"/>
      <c r="T58" s="45"/>
      <c r="U58" s="45"/>
      <c r="V58" s="45"/>
      <c r="W58" s="45"/>
      <c r="X58" s="45"/>
      <c r="Y58" s="45"/>
      <c r="Z58" s="45"/>
      <c r="AA58" s="45"/>
      <c r="AB58" s="44"/>
      <c r="AC58" s="44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</row>
    <row r="59" spans="1:83" ht="14.25" customHeight="1" x14ac:dyDescent="0.25">
      <c r="A59" s="14"/>
      <c r="B59" s="14"/>
      <c r="C59" s="29"/>
      <c r="D59" s="29"/>
      <c r="E59" s="29"/>
      <c r="F59" s="29"/>
      <c r="G59" s="29"/>
      <c r="H59" s="43"/>
      <c r="I59" s="43"/>
      <c r="J59" s="43"/>
      <c r="K59" s="43"/>
      <c r="L59" s="43"/>
      <c r="M59" s="44"/>
      <c r="N59" s="44"/>
      <c r="O59" s="44"/>
      <c r="P59" s="44"/>
      <c r="Q59" s="44"/>
      <c r="R59" s="44"/>
      <c r="S59" s="44"/>
      <c r="T59" s="45"/>
      <c r="U59" s="45"/>
      <c r="V59" s="45"/>
      <c r="W59" s="45"/>
      <c r="X59" s="45"/>
      <c r="Y59" s="45"/>
      <c r="Z59" s="45"/>
      <c r="AA59" s="45"/>
      <c r="AB59" s="44"/>
      <c r="AC59" s="44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43"/>
      <c r="BZ59" s="43"/>
      <c r="CA59" s="43"/>
      <c r="CB59" s="43"/>
      <c r="CC59" s="43"/>
      <c r="CD59" s="43"/>
      <c r="CE59" s="43"/>
    </row>
    <row r="60" spans="1:83" ht="14.25" customHeight="1" x14ac:dyDescent="0.25">
      <c r="A60" s="14"/>
      <c r="B60" s="14"/>
      <c r="C60" s="29"/>
      <c r="D60" s="14"/>
      <c r="E60" s="14"/>
      <c r="F60" s="29"/>
      <c r="G60" s="29"/>
      <c r="H60" s="43"/>
      <c r="I60" s="43"/>
      <c r="J60" s="43"/>
      <c r="K60" s="43"/>
      <c r="L60" s="43"/>
      <c r="M60" s="44"/>
      <c r="N60" s="44"/>
      <c r="O60" s="44"/>
      <c r="P60" s="44"/>
      <c r="Q60" s="44"/>
      <c r="R60" s="44"/>
      <c r="S60" s="44"/>
      <c r="T60" s="45"/>
      <c r="U60" s="45"/>
      <c r="V60" s="45"/>
      <c r="W60" s="45"/>
      <c r="X60" s="45"/>
      <c r="Y60" s="45"/>
      <c r="Z60" s="45"/>
      <c r="AA60" s="45"/>
      <c r="AB60" s="44"/>
      <c r="AC60" s="44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  <c r="BJ60" s="43"/>
      <c r="BK60" s="43"/>
      <c r="BL60" s="43"/>
      <c r="BM60" s="43"/>
      <c r="BN60" s="43"/>
      <c r="BO60" s="43"/>
      <c r="BP60" s="43"/>
      <c r="BQ60" s="43"/>
      <c r="BR60" s="43"/>
      <c r="BS60" s="43"/>
      <c r="BT60" s="43"/>
      <c r="BU60" s="43"/>
      <c r="BV60" s="43"/>
      <c r="BW60" s="43"/>
      <c r="BX60" s="43"/>
      <c r="BY60" s="43"/>
      <c r="BZ60" s="43"/>
      <c r="CA60" s="43"/>
      <c r="CB60" s="43"/>
      <c r="CC60" s="43"/>
      <c r="CD60" s="43"/>
      <c r="CE60" s="43"/>
    </row>
    <row r="61" spans="1:83" ht="14.25" customHeight="1" x14ac:dyDescent="0.25">
      <c r="A61" s="14"/>
      <c r="B61" s="14"/>
      <c r="C61" s="29"/>
      <c r="D61" s="14"/>
      <c r="E61" s="14"/>
      <c r="F61" s="29"/>
      <c r="G61" s="29"/>
      <c r="H61" s="43"/>
      <c r="I61" s="43"/>
      <c r="J61" s="43"/>
      <c r="K61" s="43"/>
      <c r="L61" s="43"/>
      <c r="M61" s="44"/>
      <c r="N61" s="44"/>
      <c r="O61" s="44"/>
      <c r="P61" s="44"/>
      <c r="Q61" s="44"/>
      <c r="R61" s="44"/>
      <c r="S61" s="44"/>
      <c r="T61" s="45"/>
      <c r="U61" s="45"/>
      <c r="V61" s="45"/>
      <c r="W61" s="45"/>
      <c r="X61" s="45"/>
      <c r="Y61" s="45"/>
      <c r="Z61" s="45"/>
      <c r="AA61" s="45"/>
      <c r="AB61" s="44"/>
      <c r="AC61" s="44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3"/>
      <c r="BK61" s="43"/>
      <c r="BL61" s="43"/>
      <c r="BM61" s="43"/>
      <c r="BN61" s="43"/>
      <c r="BO61" s="43"/>
      <c r="BP61" s="43"/>
      <c r="BQ61" s="43"/>
      <c r="BR61" s="43"/>
      <c r="BS61" s="43"/>
      <c r="BT61" s="43"/>
      <c r="BU61" s="43"/>
      <c r="BV61" s="43"/>
      <c r="BW61" s="43"/>
      <c r="BX61" s="43"/>
      <c r="BY61" s="43"/>
      <c r="BZ61" s="43"/>
      <c r="CA61" s="43"/>
      <c r="CB61" s="43"/>
      <c r="CC61" s="43"/>
      <c r="CD61" s="43"/>
      <c r="CE61" s="43"/>
    </row>
    <row r="62" spans="1:83" ht="14.25" customHeight="1" x14ac:dyDescent="0.25">
      <c r="A62" s="14"/>
      <c r="B62" s="14"/>
      <c r="C62" s="29"/>
      <c r="D62" s="14"/>
      <c r="E62" s="14"/>
      <c r="F62" s="29"/>
      <c r="G62" s="29"/>
      <c r="H62" s="43"/>
      <c r="I62" s="43"/>
      <c r="J62" s="43"/>
      <c r="K62" s="43"/>
      <c r="L62" s="43"/>
      <c r="M62" s="44"/>
      <c r="N62" s="44"/>
      <c r="O62" s="44"/>
      <c r="P62" s="44"/>
      <c r="Q62" s="44"/>
      <c r="R62" s="44"/>
      <c r="S62" s="44"/>
      <c r="T62" s="45"/>
      <c r="U62" s="45"/>
      <c r="V62" s="45"/>
      <c r="W62" s="45"/>
      <c r="X62" s="45"/>
      <c r="Y62" s="45"/>
      <c r="Z62" s="45"/>
      <c r="AA62" s="45"/>
      <c r="AB62" s="44"/>
      <c r="AC62" s="44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  <c r="BJ62" s="43"/>
      <c r="BK62" s="43"/>
      <c r="BL62" s="43"/>
      <c r="BM62" s="43"/>
      <c r="BN62" s="43"/>
      <c r="BO62" s="43"/>
      <c r="BP62" s="43"/>
      <c r="BQ62" s="43"/>
      <c r="BR62" s="43"/>
      <c r="BS62" s="43"/>
      <c r="BT62" s="43"/>
      <c r="BU62" s="43"/>
      <c r="BV62" s="43"/>
      <c r="BW62" s="43"/>
      <c r="BX62" s="43"/>
      <c r="BY62" s="43"/>
      <c r="BZ62" s="43"/>
      <c r="CA62" s="43"/>
      <c r="CB62" s="43"/>
      <c r="CC62" s="43"/>
      <c r="CD62" s="43"/>
      <c r="CE62" s="43"/>
    </row>
    <row r="63" spans="1:83" ht="14.25" customHeight="1" x14ac:dyDescent="0.25">
      <c r="A63" s="14"/>
      <c r="B63" s="14"/>
      <c r="C63" s="29"/>
      <c r="D63" s="29"/>
      <c r="E63" s="29"/>
      <c r="F63" s="29"/>
      <c r="G63" s="29"/>
      <c r="H63" s="43"/>
      <c r="I63" s="43"/>
      <c r="J63" s="43"/>
      <c r="K63" s="43"/>
      <c r="L63" s="43"/>
      <c r="M63" s="44"/>
      <c r="N63" s="44"/>
      <c r="O63" s="44"/>
      <c r="P63" s="44"/>
      <c r="Q63" s="44"/>
      <c r="R63" s="44"/>
      <c r="S63" s="44"/>
      <c r="T63" s="45"/>
      <c r="U63" s="45"/>
      <c r="V63" s="45"/>
      <c r="W63" s="45"/>
      <c r="X63" s="45"/>
      <c r="Y63" s="45"/>
      <c r="Z63" s="45"/>
      <c r="AA63" s="45"/>
      <c r="AB63" s="44"/>
      <c r="AC63" s="44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  <c r="BJ63" s="43"/>
      <c r="BK63" s="43"/>
      <c r="BL63" s="43"/>
      <c r="BM63" s="43"/>
      <c r="BN63" s="43"/>
      <c r="BO63" s="43"/>
      <c r="BP63" s="43"/>
      <c r="BQ63" s="43"/>
      <c r="BR63" s="43"/>
      <c r="BS63" s="43"/>
      <c r="BT63" s="43"/>
      <c r="BU63" s="43"/>
      <c r="BV63" s="43"/>
      <c r="BW63" s="43"/>
      <c r="BX63" s="43"/>
      <c r="BY63" s="43"/>
      <c r="BZ63" s="43"/>
      <c r="CA63" s="43"/>
      <c r="CB63" s="43"/>
      <c r="CC63" s="43"/>
      <c r="CD63" s="43"/>
      <c r="CE63" s="43"/>
    </row>
    <row r="64" spans="1:83" ht="14.25" customHeight="1" x14ac:dyDescent="0.25">
      <c r="A64" s="14"/>
      <c r="B64" s="14"/>
      <c r="C64" s="29"/>
      <c r="D64" s="14"/>
      <c r="E64" s="14"/>
      <c r="F64" s="29"/>
      <c r="G64" s="29"/>
      <c r="H64" s="43"/>
      <c r="I64" s="43"/>
      <c r="J64" s="43"/>
      <c r="K64" s="43"/>
      <c r="L64" s="43"/>
      <c r="M64" s="44"/>
      <c r="N64" s="44"/>
      <c r="O64" s="44"/>
      <c r="P64" s="44"/>
      <c r="Q64" s="44"/>
      <c r="R64" s="44"/>
      <c r="S64" s="44"/>
      <c r="T64" s="45"/>
      <c r="U64" s="45"/>
      <c r="V64" s="45"/>
      <c r="W64" s="45"/>
      <c r="X64" s="45"/>
      <c r="Y64" s="45"/>
      <c r="Z64" s="45"/>
      <c r="AA64" s="45"/>
      <c r="AB64" s="44"/>
      <c r="AC64" s="44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  <c r="BJ64" s="43"/>
      <c r="BK64" s="43"/>
      <c r="BL64" s="43"/>
      <c r="BM64" s="43"/>
      <c r="BN64" s="43"/>
      <c r="BO64" s="43"/>
      <c r="BP64" s="43"/>
      <c r="BQ64" s="43"/>
      <c r="BR64" s="43"/>
      <c r="BS64" s="43"/>
      <c r="BT64" s="43"/>
      <c r="BU64" s="43"/>
      <c r="BV64" s="43"/>
      <c r="BW64" s="43"/>
      <c r="BX64" s="43"/>
      <c r="BY64" s="43"/>
      <c r="BZ64" s="43"/>
      <c r="CA64" s="43"/>
      <c r="CB64" s="43"/>
      <c r="CC64" s="43"/>
      <c r="CD64" s="43"/>
      <c r="CE64" s="43"/>
    </row>
    <row r="65" spans="1:83" ht="14.25" customHeight="1" x14ac:dyDescent="0.25">
      <c r="A65" s="14"/>
      <c r="B65" s="14"/>
      <c r="C65" s="29"/>
      <c r="D65" s="14"/>
      <c r="E65" s="14"/>
      <c r="F65" s="29"/>
      <c r="G65" s="29"/>
      <c r="H65" s="43"/>
      <c r="I65" s="43"/>
      <c r="J65" s="43"/>
      <c r="K65" s="43"/>
      <c r="L65" s="43"/>
      <c r="M65" s="44"/>
      <c r="N65" s="44"/>
      <c r="O65" s="44"/>
      <c r="P65" s="44"/>
      <c r="Q65" s="44"/>
      <c r="R65" s="44"/>
      <c r="S65" s="44"/>
      <c r="T65" s="45"/>
      <c r="U65" s="45"/>
      <c r="V65" s="45"/>
      <c r="W65" s="45"/>
      <c r="X65" s="45"/>
      <c r="Y65" s="45"/>
      <c r="Z65" s="45"/>
      <c r="AA65" s="45"/>
      <c r="AB65" s="44"/>
      <c r="AC65" s="44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  <c r="BJ65" s="43"/>
      <c r="BK65" s="43"/>
      <c r="BL65" s="43"/>
      <c r="BM65" s="43"/>
      <c r="BN65" s="43"/>
      <c r="BO65" s="43"/>
      <c r="BP65" s="43"/>
      <c r="BQ65" s="43"/>
      <c r="BR65" s="43"/>
      <c r="BS65" s="43"/>
      <c r="BT65" s="43"/>
      <c r="BU65" s="43"/>
      <c r="BV65" s="43"/>
      <c r="BW65" s="43"/>
      <c r="BX65" s="43"/>
      <c r="BY65" s="43"/>
      <c r="BZ65" s="43"/>
      <c r="CA65" s="43"/>
      <c r="CB65" s="43"/>
      <c r="CC65" s="43"/>
      <c r="CD65" s="43"/>
      <c r="CE65" s="43"/>
    </row>
    <row r="66" spans="1:83" ht="14.25" customHeight="1" x14ac:dyDescent="0.25">
      <c r="A66" s="14"/>
      <c r="B66" s="14"/>
      <c r="C66" s="29"/>
      <c r="D66" s="14"/>
      <c r="E66" s="14"/>
      <c r="F66" s="29"/>
      <c r="G66" s="29"/>
      <c r="H66" s="43"/>
      <c r="I66" s="43"/>
      <c r="J66" s="43"/>
      <c r="K66" s="43"/>
      <c r="L66" s="43"/>
      <c r="M66" s="44"/>
      <c r="N66" s="44"/>
      <c r="O66" s="44"/>
      <c r="P66" s="44"/>
      <c r="Q66" s="44"/>
      <c r="R66" s="44"/>
      <c r="S66" s="44"/>
      <c r="T66" s="45"/>
      <c r="U66" s="45"/>
      <c r="V66" s="45"/>
      <c r="W66" s="45"/>
      <c r="X66" s="45"/>
      <c r="Y66" s="45"/>
      <c r="Z66" s="45"/>
      <c r="AA66" s="45"/>
      <c r="AB66" s="44"/>
      <c r="AC66" s="44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  <c r="BJ66" s="43"/>
      <c r="BK66" s="43"/>
      <c r="BL66" s="43"/>
      <c r="BM66" s="43"/>
      <c r="BN66" s="43"/>
      <c r="BO66" s="43"/>
      <c r="BP66" s="43"/>
      <c r="BQ66" s="43"/>
      <c r="BR66" s="43"/>
      <c r="BS66" s="43"/>
      <c r="BT66" s="43"/>
      <c r="BU66" s="43"/>
      <c r="BV66" s="43"/>
      <c r="BW66" s="43"/>
      <c r="BX66" s="43"/>
      <c r="BY66" s="43"/>
      <c r="BZ66" s="43"/>
      <c r="CA66" s="43"/>
      <c r="CB66" s="43"/>
      <c r="CC66" s="43"/>
      <c r="CD66" s="43"/>
      <c r="CE66" s="43"/>
    </row>
    <row r="67" spans="1:83" ht="14.25" customHeight="1" x14ac:dyDescent="0.25">
      <c r="A67" s="14"/>
      <c r="B67" s="14"/>
      <c r="C67" s="29"/>
      <c r="D67" s="29"/>
      <c r="E67" s="29"/>
      <c r="F67" s="29"/>
      <c r="G67" s="29"/>
      <c r="H67" s="43"/>
      <c r="I67" s="43"/>
      <c r="J67" s="43"/>
      <c r="K67" s="43"/>
      <c r="L67" s="43"/>
      <c r="M67" s="44"/>
      <c r="N67" s="44"/>
      <c r="O67" s="44"/>
      <c r="P67" s="44"/>
      <c r="Q67" s="44"/>
      <c r="R67" s="44"/>
      <c r="S67" s="44"/>
      <c r="T67" s="45"/>
      <c r="U67" s="45"/>
      <c r="V67" s="45"/>
      <c r="W67" s="45"/>
      <c r="X67" s="45"/>
      <c r="Y67" s="45"/>
      <c r="Z67" s="45"/>
      <c r="AA67" s="45"/>
      <c r="AB67" s="44"/>
      <c r="AC67" s="44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  <c r="BJ67" s="43"/>
      <c r="BK67" s="43"/>
      <c r="BL67" s="43"/>
      <c r="BM67" s="43"/>
      <c r="BN67" s="43"/>
      <c r="BO67" s="43"/>
      <c r="BP67" s="43"/>
      <c r="BQ67" s="43"/>
      <c r="BR67" s="43"/>
      <c r="BS67" s="43"/>
      <c r="BT67" s="43"/>
      <c r="BU67" s="43"/>
      <c r="BV67" s="43"/>
      <c r="BW67" s="43"/>
      <c r="BX67" s="43"/>
      <c r="BY67" s="43"/>
      <c r="BZ67" s="43"/>
      <c r="CA67" s="43"/>
      <c r="CB67" s="43"/>
      <c r="CC67" s="43"/>
      <c r="CD67" s="43"/>
      <c r="CE67" s="43"/>
    </row>
    <row r="68" spans="1:83" ht="14.25" customHeight="1" x14ac:dyDescent="0.25">
      <c r="A68" s="14"/>
      <c r="B68" s="14"/>
      <c r="C68" s="29"/>
      <c r="D68" s="46"/>
      <c r="E68" s="14"/>
      <c r="F68" s="29"/>
      <c r="G68" s="29"/>
      <c r="H68" s="43"/>
      <c r="I68" s="43"/>
      <c r="J68" s="43"/>
      <c r="K68" s="43"/>
      <c r="L68" s="43"/>
      <c r="M68" s="44"/>
      <c r="N68" s="44"/>
      <c r="O68" s="44"/>
      <c r="P68" s="44"/>
      <c r="Q68" s="44"/>
      <c r="R68" s="44"/>
      <c r="S68" s="44"/>
      <c r="T68" s="45"/>
      <c r="U68" s="45"/>
      <c r="V68" s="45"/>
      <c r="W68" s="45"/>
      <c r="X68" s="45"/>
      <c r="Y68" s="45"/>
      <c r="Z68" s="45"/>
      <c r="AA68" s="45"/>
      <c r="AB68" s="44"/>
      <c r="AC68" s="44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  <c r="BJ68" s="43"/>
      <c r="BK68" s="43"/>
      <c r="BL68" s="43"/>
      <c r="BM68" s="43"/>
      <c r="BN68" s="43"/>
      <c r="BO68" s="43"/>
      <c r="BP68" s="43"/>
      <c r="BQ68" s="43"/>
      <c r="BR68" s="43"/>
      <c r="BS68" s="43"/>
      <c r="BT68" s="43"/>
      <c r="BU68" s="43"/>
      <c r="BV68" s="43"/>
      <c r="BW68" s="43"/>
      <c r="BX68" s="43"/>
      <c r="BY68" s="43"/>
      <c r="BZ68" s="43"/>
      <c r="CA68" s="43"/>
      <c r="CB68" s="43"/>
      <c r="CC68" s="43"/>
      <c r="CD68" s="43"/>
      <c r="CE68" s="43"/>
    </row>
    <row r="69" spans="1:83" ht="14.25" customHeight="1" x14ac:dyDescent="0.25">
      <c r="A69" s="14"/>
      <c r="B69" s="14"/>
      <c r="C69" s="29"/>
      <c r="D69" s="46"/>
      <c r="E69" s="14"/>
      <c r="F69" s="29"/>
      <c r="G69" s="29"/>
      <c r="H69" s="43"/>
      <c r="I69" s="43"/>
      <c r="J69" s="43"/>
      <c r="K69" s="43"/>
      <c r="L69" s="43"/>
      <c r="M69" s="44"/>
      <c r="N69" s="44"/>
      <c r="O69" s="44"/>
      <c r="P69" s="44"/>
      <c r="Q69" s="44"/>
      <c r="R69" s="44"/>
      <c r="S69" s="44"/>
      <c r="T69" s="45"/>
      <c r="U69" s="45"/>
      <c r="V69" s="45"/>
      <c r="W69" s="45"/>
      <c r="X69" s="45"/>
      <c r="Y69" s="45"/>
      <c r="Z69" s="45"/>
      <c r="AA69" s="45"/>
      <c r="AB69" s="44"/>
      <c r="AC69" s="44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  <c r="AO69" s="43"/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  <c r="BJ69" s="43"/>
      <c r="BK69" s="43"/>
      <c r="BL69" s="43"/>
      <c r="BM69" s="43"/>
      <c r="BN69" s="43"/>
      <c r="BO69" s="43"/>
      <c r="BP69" s="43"/>
      <c r="BQ69" s="43"/>
      <c r="BR69" s="43"/>
      <c r="BS69" s="43"/>
      <c r="BT69" s="43"/>
      <c r="BU69" s="43"/>
      <c r="BV69" s="43"/>
      <c r="BW69" s="43"/>
      <c r="BX69" s="43"/>
      <c r="BY69" s="43"/>
      <c r="BZ69" s="43"/>
      <c r="CA69" s="43"/>
      <c r="CB69" s="43"/>
      <c r="CC69" s="43"/>
      <c r="CD69" s="43"/>
      <c r="CE69" s="43"/>
    </row>
    <row r="70" spans="1:83" ht="14.25" customHeight="1" x14ac:dyDescent="0.25">
      <c r="A70" s="14"/>
      <c r="B70" s="14"/>
      <c r="C70" s="29"/>
      <c r="D70" s="29"/>
      <c r="E70" s="29"/>
      <c r="F70" s="29"/>
      <c r="G70" s="29"/>
      <c r="H70" s="43"/>
      <c r="I70" s="43"/>
      <c r="J70" s="43"/>
      <c r="K70" s="43"/>
      <c r="L70" s="43"/>
      <c r="M70" s="44"/>
      <c r="N70" s="44"/>
      <c r="O70" s="44"/>
      <c r="P70" s="44"/>
      <c r="Q70" s="44"/>
      <c r="R70" s="44"/>
      <c r="S70" s="44"/>
      <c r="T70" s="45"/>
      <c r="U70" s="45"/>
      <c r="V70" s="45"/>
      <c r="W70" s="45"/>
      <c r="X70" s="45"/>
      <c r="Y70" s="45"/>
      <c r="Z70" s="45"/>
      <c r="AA70" s="45"/>
      <c r="AB70" s="44"/>
      <c r="AC70" s="44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  <c r="BJ70" s="43"/>
      <c r="BK70" s="43"/>
      <c r="BL70" s="43"/>
      <c r="BM70" s="43"/>
      <c r="BN70" s="43"/>
      <c r="BO70" s="43"/>
      <c r="BP70" s="43"/>
      <c r="BQ70" s="43"/>
      <c r="BR70" s="43"/>
      <c r="BS70" s="43"/>
      <c r="BT70" s="43"/>
      <c r="BU70" s="43"/>
      <c r="BV70" s="43"/>
      <c r="BW70" s="43"/>
      <c r="BX70" s="43"/>
      <c r="BY70" s="43"/>
      <c r="BZ70" s="43"/>
      <c r="CA70" s="43"/>
      <c r="CB70" s="43"/>
      <c r="CC70" s="43"/>
      <c r="CD70" s="43"/>
      <c r="CE70" s="43"/>
    </row>
    <row r="71" spans="1:83" ht="14.25" customHeight="1" x14ac:dyDescent="0.25">
      <c r="A71" s="14"/>
      <c r="B71" s="14"/>
      <c r="C71" s="29"/>
      <c r="D71" s="46"/>
      <c r="E71" s="14"/>
      <c r="F71" s="29"/>
      <c r="G71" s="29"/>
      <c r="H71" s="43"/>
      <c r="I71" s="43"/>
      <c r="J71" s="43"/>
      <c r="K71" s="43"/>
      <c r="L71" s="43"/>
      <c r="M71" s="44"/>
      <c r="N71" s="44"/>
      <c r="O71" s="44"/>
      <c r="P71" s="44"/>
      <c r="Q71" s="44"/>
      <c r="R71" s="44"/>
      <c r="S71" s="44"/>
      <c r="T71" s="45"/>
      <c r="U71" s="45"/>
      <c r="V71" s="45"/>
      <c r="W71" s="45"/>
      <c r="X71" s="45"/>
      <c r="Y71" s="45"/>
      <c r="Z71" s="45"/>
      <c r="AA71" s="45"/>
      <c r="AB71" s="44"/>
      <c r="AC71" s="44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  <c r="BJ71" s="43"/>
      <c r="BK71" s="43"/>
      <c r="BL71" s="43"/>
      <c r="BM71" s="43"/>
      <c r="BN71" s="43"/>
      <c r="BO71" s="43"/>
      <c r="BP71" s="43"/>
      <c r="BQ71" s="43"/>
      <c r="BR71" s="43"/>
      <c r="BS71" s="43"/>
      <c r="BT71" s="43"/>
      <c r="BU71" s="43"/>
      <c r="BV71" s="43"/>
      <c r="BW71" s="43"/>
      <c r="BX71" s="43"/>
      <c r="BY71" s="43"/>
      <c r="BZ71" s="43"/>
      <c r="CA71" s="43"/>
      <c r="CB71" s="43"/>
      <c r="CC71" s="43"/>
      <c r="CD71" s="43"/>
      <c r="CE71" s="43"/>
    </row>
    <row r="72" spans="1:83" ht="14.25" customHeight="1" x14ac:dyDescent="0.25">
      <c r="A72" s="14"/>
      <c r="B72" s="14"/>
      <c r="C72" s="29"/>
      <c r="D72" s="46"/>
      <c r="E72" s="14"/>
      <c r="F72" s="29"/>
      <c r="G72" s="29"/>
      <c r="H72" s="43"/>
      <c r="I72" s="43"/>
      <c r="J72" s="43"/>
      <c r="K72" s="43"/>
      <c r="L72" s="43"/>
      <c r="M72" s="44"/>
      <c r="N72" s="44"/>
      <c r="O72" s="44"/>
      <c r="P72" s="44"/>
      <c r="Q72" s="44"/>
      <c r="R72" s="44"/>
      <c r="S72" s="44"/>
      <c r="T72" s="45"/>
      <c r="U72" s="45"/>
      <c r="V72" s="45"/>
      <c r="W72" s="45"/>
      <c r="X72" s="45"/>
      <c r="Y72" s="45"/>
      <c r="Z72" s="45"/>
      <c r="AA72" s="45"/>
      <c r="AB72" s="44"/>
      <c r="AC72" s="44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  <c r="BJ72" s="43"/>
      <c r="BK72" s="43"/>
      <c r="BL72" s="43"/>
      <c r="BM72" s="43"/>
      <c r="BN72" s="43"/>
      <c r="BO72" s="43"/>
      <c r="BP72" s="43"/>
      <c r="BQ72" s="43"/>
      <c r="BR72" s="43"/>
      <c r="BS72" s="43"/>
      <c r="BT72" s="43"/>
      <c r="BU72" s="43"/>
      <c r="BV72" s="43"/>
      <c r="BW72" s="43"/>
      <c r="BX72" s="43"/>
      <c r="BY72" s="43"/>
      <c r="BZ72" s="43"/>
      <c r="CA72" s="43"/>
      <c r="CB72" s="43"/>
      <c r="CC72" s="43"/>
      <c r="CD72" s="43"/>
      <c r="CE72" s="43"/>
    </row>
    <row r="73" spans="1:83" ht="14.25" customHeight="1" x14ac:dyDescent="0.25">
      <c r="A73" s="14"/>
      <c r="B73" s="14"/>
      <c r="C73" s="29"/>
      <c r="D73" s="29"/>
      <c r="E73" s="29"/>
      <c r="F73" s="29"/>
      <c r="G73" s="29"/>
      <c r="H73" s="43"/>
      <c r="I73" s="43"/>
      <c r="J73" s="43"/>
      <c r="K73" s="43"/>
      <c r="L73" s="43"/>
      <c r="M73" s="44"/>
      <c r="N73" s="44"/>
      <c r="O73" s="44"/>
      <c r="P73" s="44"/>
      <c r="Q73" s="44"/>
      <c r="R73" s="44"/>
      <c r="S73" s="44"/>
      <c r="T73" s="45"/>
      <c r="U73" s="45"/>
      <c r="V73" s="45"/>
      <c r="W73" s="45"/>
      <c r="X73" s="45"/>
      <c r="Y73" s="45"/>
      <c r="Z73" s="45"/>
      <c r="AA73" s="45"/>
      <c r="AB73" s="44"/>
      <c r="AC73" s="44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  <c r="BS73" s="43"/>
      <c r="BT73" s="43"/>
      <c r="BU73" s="43"/>
      <c r="BV73" s="43"/>
      <c r="BW73" s="43"/>
      <c r="BX73" s="43"/>
      <c r="BY73" s="43"/>
      <c r="BZ73" s="43"/>
      <c r="CA73" s="43"/>
      <c r="CB73" s="43"/>
      <c r="CC73" s="43"/>
      <c r="CD73" s="43"/>
      <c r="CE73" s="43"/>
    </row>
    <row r="74" spans="1:83" ht="14.25" customHeight="1" x14ac:dyDescent="0.25">
      <c r="A74" s="14"/>
      <c r="B74" s="14"/>
      <c r="C74" s="29"/>
      <c r="D74" s="14"/>
      <c r="E74" s="14"/>
      <c r="F74" s="29"/>
      <c r="G74" s="29"/>
      <c r="H74" s="43"/>
      <c r="I74" s="43"/>
      <c r="J74" s="43"/>
      <c r="K74" s="43"/>
      <c r="L74" s="43"/>
      <c r="M74" s="44"/>
      <c r="N74" s="44"/>
      <c r="O74" s="44"/>
      <c r="P74" s="44"/>
      <c r="Q74" s="44"/>
      <c r="R74" s="44"/>
      <c r="S74" s="44"/>
      <c r="T74" s="45"/>
      <c r="U74" s="45"/>
      <c r="V74" s="45"/>
      <c r="W74" s="45"/>
      <c r="X74" s="45"/>
      <c r="Y74" s="45"/>
      <c r="Z74" s="45"/>
      <c r="AA74" s="45"/>
      <c r="AB74" s="44"/>
      <c r="AC74" s="44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  <c r="BJ74" s="43"/>
      <c r="BK74" s="43"/>
      <c r="BL74" s="43"/>
      <c r="BM74" s="43"/>
      <c r="BN74" s="43"/>
      <c r="BO74" s="43"/>
      <c r="BP74" s="43"/>
      <c r="BQ74" s="43"/>
      <c r="BR74" s="43"/>
      <c r="BS74" s="43"/>
      <c r="BT74" s="43"/>
      <c r="BU74" s="43"/>
      <c r="BV74" s="43"/>
      <c r="BW74" s="43"/>
      <c r="BX74" s="43"/>
      <c r="BY74" s="43"/>
      <c r="BZ74" s="43"/>
      <c r="CA74" s="43"/>
      <c r="CB74" s="43"/>
      <c r="CC74" s="43"/>
      <c r="CD74" s="43"/>
      <c r="CE74" s="43"/>
    </row>
    <row r="75" spans="1:83" ht="14.25" customHeight="1" x14ac:dyDescent="0.25">
      <c r="A75" s="14"/>
      <c r="B75" s="14"/>
      <c r="C75" s="29"/>
      <c r="D75" s="29"/>
      <c r="E75" s="29"/>
      <c r="F75" s="42"/>
      <c r="G75" s="42"/>
      <c r="H75" s="43"/>
      <c r="I75" s="43"/>
      <c r="J75" s="43"/>
      <c r="K75" s="43"/>
      <c r="L75" s="43"/>
      <c r="M75" s="44"/>
      <c r="N75" s="44"/>
      <c r="O75" s="44"/>
      <c r="P75" s="44"/>
      <c r="Q75" s="44"/>
      <c r="R75" s="44"/>
      <c r="S75" s="44"/>
      <c r="T75" s="45"/>
      <c r="U75" s="45"/>
      <c r="V75" s="45"/>
      <c r="W75" s="45"/>
      <c r="X75" s="45"/>
      <c r="Y75" s="45"/>
      <c r="Z75" s="45"/>
      <c r="AA75" s="45"/>
      <c r="AB75" s="44"/>
      <c r="AC75" s="44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/>
      <c r="BR75" s="43"/>
      <c r="BS75" s="43"/>
      <c r="BT75" s="43"/>
      <c r="BU75" s="43"/>
      <c r="BV75" s="43"/>
      <c r="BW75" s="43"/>
      <c r="BX75" s="43"/>
      <c r="BY75" s="43"/>
      <c r="BZ75" s="43"/>
      <c r="CA75" s="43"/>
      <c r="CB75" s="43"/>
      <c r="CC75" s="43"/>
      <c r="CD75" s="43"/>
      <c r="CE75" s="43"/>
    </row>
    <row r="76" spans="1:83" ht="14.25" customHeight="1" x14ac:dyDescent="0.25">
      <c r="A76" s="14"/>
      <c r="B76" s="14"/>
      <c r="C76" s="29"/>
      <c r="D76" s="29"/>
      <c r="E76" s="29"/>
      <c r="F76" s="29"/>
      <c r="G76" s="29"/>
      <c r="H76" s="43"/>
      <c r="I76" s="43"/>
      <c r="J76" s="43"/>
      <c r="K76" s="43"/>
      <c r="L76" s="43"/>
      <c r="M76" s="44"/>
      <c r="N76" s="44"/>
      <c r="O76" s="44"/>
      <c r="P76" s="44"/>
      <c r="Q76" s="44"/>
      <c r="R76" s="44"/>
      <c r="S76" s="44"/>
      <c r="T76" s="45"/>
      <c r="U76" s="45"/>
      <c r="V76" s="45"/>
      <c r="W76" s="45"/>
      <c r="X76" s="45"/>
      <c r="Y76" s="45"/>
      <c r="Z76" s="45"/>
      <c r="AA76" s="45"/>
      <c r="AB76" s="44"/>
      <c r="AC76" s="44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  <c r="BJ76" s="43"/>
      <c r="BK76" s="43"/>
      <c r="BL76" s="43"/>
      <c r="BM76" s="43"/>
      <c r="BN76" s="43"/>
      <c r="BO76" s="43"/>
      <c r="BP76" s="43"/>
      <c r="BQ76" s="43"/>
      <c r="BR76" s="43"/>
      <c r="BS76" s="43"/>
      <c r="BT76" s="43"/>
      <c r="BU76" s="43"/>
      <c r="BV76" s="43"/>
      <c r="BW76" s="43"/>
      <c r="BX76" s="43"/>
      <c r="BY76" s="43"/>
      <c r="BZ76" s="43"/>
      <c r="CA76" s="43"/>
      <c r="CB76" s="43"/>
      <c r="CC76" s="43"/>
      <c r="CD76" s="43"/>
      <c r="CE76" s="43"/>
    </row>
    <row r="77" spans="1:83" ht="14.25" customHeight="1" x14ac:dyDescent="0.25">
      <c r="A77" s="14"/>
      <c r="B77" s="14"/>
      <c r="C77" s="29"/>
      <c r="D77" s="14"/>
      <c r="E77" s="14"/>
      <c r="F77" s="29"/>
      <c r="G77" s="29"/>
      <c r="H77" s="43"/>
      <c r="I77" s="43"/>
      <c r="J77" s="43"/>
      <c r="K77" s="43"/>
      <c r="L77" s="43"/>
      <c r="M77" s="44"/>
      <c r="N77" s="44"/>
      <c r="O77" s="44"/>
      <c r="P77" s="44"/>
      <c r="Q77" s="44"/>
      <c r="R77" s="44"/>
      <c r="S77" s="44"/>
      <c r="T77" s="45"/>
      <c r="U77" s="45"/>
      <c r="V77" s="45"/>
      <c r="W77" s="45"/>
      <c r="X77" s="45"/>
      <c r="Y77" s="45"/>
      <c r="Z77" s="45"/>
      <c r="AA77" s="45"/>
      <c r="AB77" s="44"/>
      <c r="AC77" s="44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  <c r="BJ77" s="43"/>
      <c r="BK77" s="43"/>
      <c r="BL77" s="43"/>
      <c r="BM77" s="43"/>
      <c r="BN77" s="43"/>
      <c r="BO77" s="43"/>
      <c r="BP77" s="43"/>
      <c r="BQ77" s="43"/>
      <c r="BR77" s="43"/>
      <c r="BS77" s="43"/>
      <c r="BT77" s="43"/>
      <c r="BU77" s="43"/>
      <c r="BV77" s="43"/>
      <c r="BW77" s="43"/>
      <c r="BX77" s="43"/>
      <c r="BY77" s="43"/>
      <c r="BZ77" s="43"/>
      <c r="CA77" s="43"/>
      <c r="CB77" s="43"/>
      <c r="CC77" s="43"/>
      <c r="CD77" s="43"/>
      <c r="CE77" s="43"/>
    </row>
    <row r="78" spans="1:83" ht="14.25" customHeight="1" x14ac:dyDescent="0.25">
      <c r="A78" s="14"/>
      <c r="B78" s="14"/>
      <c r="C78" s="29"/>
      <c r="D78" s="14"/>
      <c r="E78" s="14"/>
      <c r="F78" s="29"/>
      <c r="G78" s="29"/>
      <c r="H78" s="43"/>
      <c r="I78" s="43"/>
      <c r="J78" s="43"/>
      <c r="K78" s="43"/>
      <c r="L78" s="43"/>
      <c r="M78" s="44"/>
      <c r="N78" s="44"/>
      <c r="O78" s="44"/>
      <c r="P78" s="44"/>
      <c r="Q78" s="44"/>
      <c r="R78" s="44"/>
      <c r="S78" s="44"/>
      <c r="T78" s="45"/>
      <c r="U78" s="45"/>
      <c r="V78" s="45"/>
      <c r="W78" s="45"/>
      <c r="X78" s="45"/>
      <c r="Y78" s="45"/>
      <c r="Z78" s="45"/>
      <c r="AA78" s="45"/>
      <c r="AB78" s="44"/>
      <c r="AC78" s="44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3"/>
      <c r="BS78" s="43"/>
      <c r="BT78" s="43"/>
      <c r="BU78" s="43"/>
      <c r="BV78" s="43"/>
      <c r="BW78" s="43"/>
      <c r="BX78" s="43"/>
      <c r="BY78" s="43"/>
      <c r="BZ78" s="43"/>
      <c r="CA78" s="43"/>
      <c r="CB78" s="43"/>
      <c r="CC78" s="43"/>
      <c r="CD78" s="43"/>
      <c r="CE78" s="43"/>
    </row>
    <row r="79" spans="1:83" ht="14.25" customHeight="1" x14ac:dyDescent="0.25">
      <c r="A79" s="14"/>
      <c r="B79" s="14"/>
      <c r="C79" s="29"/>
      <c r="D79" s="29"/>
      <c r="E79" s="29"/>
      <c r="F79" s="29"/>
      <c r="G79" s="29"/>
      <c r="H79" s="43"/>
      <c r="I79" s="43"/>
      <c r="J79" s="43"/>
      <c r="K79" s="43"/>
      <c r="L79" s="43"/>
      <c r="M79" s="44"/>
      <c r="N79" s="44"/>
      <c r="O79" s="44"/>
      <c r="P79" s="44"/>
      <c r="Q79" s="44"/>
      <c r="R79" s="44"/>
      <c r="S79" s="44"/>
      <c r="T79" s="45"/>
      <c r="U79" s="45"/>
      <c r="V79" s="45"/>
      <c r="W79" s="45"/>
      <c r="X79" s="45"/>
      <c r="Y79" s="45"/>
      <c r="Z79" s="45"/>
      <c r="AA79" s="45"/>
      <c r="AB79" s="44"/>
      <c r="AC79" s="44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  <c r="BJ79" s="43"/>
      <c r="BK79" s="43"/>
      <c r="BL79" s="43"/>
      <c r="BM79" s="43"/>
      <c r="BN79" s="43"/>
      <c r="BO79" s="43"/>
      <c r="BP79" s="43"/>
      <c r="BQ79" s="43"/>
      <c r="BR79" s="43"/>
      <c r="BS79" s="43"/>
      <c r="BT79" s="43"/>
      <c r="BU79" s="43"/>
      <c r="BV79" s="43"/>
      <c r="BW79" s="43"/>
      <c r="BX79" s="43"/>
      <c r="BY79" s="43"/>
      <c r="BZ79" s="43"/>
      <c r="CA79" s="43"/>
      <c r="CB79" s="43"/>
      <c r="CC79" s="43"/>
      <c r="CD79" s="43"/>
      <c r="CE79" s="43"/>
    </row>
    <row r="80" spans="1:83" ht="14.25" customHeight="1" x14ac:dyDescent="0.25">
      <c r="A80" s="14"/>
      <c r="B80" s="14"/>
      <c r="C80" s="29"/>
      <c r="D80" s="14"/>
      <c r="E80" s="14"/>
      <c r="F80" s="29"/>
      <c r="G80" s="29"/>
      <c r="H80" s="43"/>
      <c r="I80" s="43"/>
      <c r="J80" s="43"/>
      <c r="K80" s="43"/>
      <c r="L80" s="43"/>
      <c r="M80" s="44"/>
      <c r="N80" s="44"/>
      <c r="O80" s="44"/>
      <c r="P80" s="44"/>
      <c r="Q80" s="44"/>
      <c r="R80" s="44"/>
      <c r="S80" s="44"/>
      <c r="T80" s="45"/>
      <c r="U80" s="45"/>
      <c r="V80" s="45"/>
      <c r="W80" s="45"/>
      <c r="X80" s="45"/>
      <c r="Y80" s="45"/>
      <c r="Z80" s="45"/>
      <c r="AA80" s="45"/>
      <c r="AB80" s="44"/>
      <c r="AC80" s="44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  <c r="BJ80" s="43"/>
      <c r="BK80" s="43"/>
      <c r="BL80" s="43"/>
      <c r="BM80" s="43"/>
      <c r="BN80" s="43"/>
      <c r="BO80" s="43"/>
      <c r="BP80" s="43"/>
      <c r="BQ80" s="43"/>
      <c r="BR80" s="43"/>
      <c r="BS80" s="43"/>
      <c r="BT80" s="43"/>
      <c r="BU80" s="43"/>
      <c r="BV80" s="43"/>
      <c r="BW80" s="43"/>
      <c r="BX80" s="43"/>
      <c r="BY80" s="43"/>
      <c r="BZ80" s="43"/>
      <c r="CA80" s="43"/>
      <c r="CB80" s="43"/>
      <c r="CC80" s="43"/>
      <c r="CD80" s="43"/>
      <c r="CE80" s="43"/>
    </row>
    <row r="81" spans="1:83" ht="14.25" customHeight="1" x14ac:dyDescent="0.25">
      <c r="A81" s="14"/>
      <c r="B81" s="14"/>
      <c r="C81" s="29"/>
      <c r="D81" s="14"/>
      <c r="E81" s="14"/>
      <c r="F81" s="29"/>
      <c r="G81" s="29"/>
      <c r="H81" s="43"/>
      <c r="I81" s="43"/>
      <c r="J81" s="43"/>
      <c r="K81" s="43"/>
      <c r="L81" s="43"/>
      <c r="M81" s="44"/>
      <c r="N81" s="44"/>
      <c r="O81" s="44"/>
      <c r="P81" s="44"/>
      <c r="Q81" s="44"/>
      <c r="R81" s="44"/>
      <c r="S81" s="44"/>
      <c r="T81" s="45"/>
      <c r="U81" s="45"/>
      <c r="V81" s="45"/>
      <c r="W81" s="45"/>
      <c r="X81" s="45"/>
      <c r="Y81" s="45"/>
      <c r="Z81" s="45"/>
      <c r="AA81" s="45"/>
      <c r="AB81" s="44"/>
      <c r="AC81" s="44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  <c r="BJ81" s="43"/>
      <c r="BK81" s="43"/>
      <c r="BL81" s="43"/>
      <c r="BM81" s="43"/>
      <c r="BN81" s="43"/>
      <c r="BO81" s="43"/>
      <c r="BP81" s="43"/>
      <c r="BQ81" s="43"/>
      <c r="BR81" s="43"/>
      <c r="BS81" s="43"/>
      <c r="BT81" s="43"/>
      <c r="BU81" s="43"/>
      <c r="BV81" s="43"/>
      <c r="BW81" s="43"/>
      <c r="BX81" s="43"/>
      <c r="BY81" s="43"/>
      <c r="BZ81" s="43"/>
      <c r="CA81" s="43"/>
      <c r="CB81" s="43"/>
      <c r="CC81" s="43"/>
      <c r="CD81" s="43"/>
      <c r="CE81" s="43"/>
    </row>
    <row r="82" spans="1:83" ht="14.25" customHeight="1" x14ac:dyDescent="0.25">
      <c r="A82" s="14"/>
      <c r="B82" s="14"/>
      <c r="C82" s="29"/>
      <c r="D82" s="29"/>
      <c r="E82" s="29"/>
      <c r="F82" s="29"/>
      <c r="G82" s="29"/>
      <c r="H82" s="43"/>
      <c r="I82" s="43"/>
      <c r="J82" s="43"/>
      <c r="K82" s="43"/>
      <c r="L82" s="43"/>
      <c r="M82" s="44"/>
      <c r="N82" s="44"/>
      <c r="O82" s="44"/>
      <c r="P82" s="44"/>
      <c r="Q82" s="44"/>
      <c r="R82" s="44"/>
      <c r="S82" s="44"/>
      <c r="T82" s="45"/>
      <c r="U82" s="45"/>
      <c r="V82" s="45"/>
      <c r="W82" s="45"/>
      <c r="X82" s="45"/>
      <c r="Y82" s="45"/>
      <c r="Z82" s="45"/>
      <c r="AA82" s="45"/>
      <c r="AB82" s="44"/>
      <c r="AC82" s="44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  <c r="BJ82" s="43"/>
      <c r="BK82" s="43"/>
      <c r="BL82" s="43"/>
      <c r="BM82" s="43"/>
      <c r="BN82" s="43"/>
      <c r="BO82" s="43"/>
      <c r="BP82" s="43"/>
      <c r="BQ82" s="43"/>
      <c r="BR82" s="43"/>
      <c r="BS82" s="43"/>
      <c r="BT82" s="43"/>
      <c r="BU82" s="43"/>
      <c r="BV82" s="43"/>
      <c r="BW82" s="43"/>
      <c r="BX82" s="43"/>
      <c r="BY82" s="43"/>
      <c r="BZ82" s="43"/>
      <c r="CA82" s="43"/>
      <c r="CB82" s="43"/>
      <c r="CC82" s="43"/>
      <c r="CD82" s="43"/>
      <c r="CE82" s="43"/>
    </row>
    <row r="83" spans="1:83" ht="14.25" customHeight="1" x14ac:dyDescent="0.25">
      <c r="A83" s="14"/>
      <c r="B83" s="14"/>
      <c r="C83" s="29"/>
      <c r="D83" s="14"/>
      <c r="E83" s="14"/>
      <c r="F83" s="29"/>
      <c r="G83" s="29"/>
      <c r="H83" s="43"/>
      <c r="I83" s="43"/>
      <c r="J83" s="43"/>
      <c r="K83" s="43"/>
      <c r="L83" s="43"/>
      <c r="M83" s="44"/>
      <c r="N83" s="44"/>
      <c r="O83" s="44"/>
      <c r="P83" s="44"/>
      <c r="Q83" s="44"/>
      <c r="R83" s="44"/>
      <c r="S83" s="44"/>
      <c r="T83" s="45"/>
      <c r="U83" s="45"/>
      <c r="V83" s="45"/>
      <c r="W83" s="45"/>
      <c r="X83" s="45"/>
      <c r="Y83" s="45"/>
      <c r="Z83" s="45"/>
      <c r="AA83" s="45"/>
      <c r="AB83" s="44"/>
      <c r="AC83" s="44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  <c r="BJ83" s="43"/>
      <c r="BK83" s="43"/>
      <c r="BL83" s="43"/>
      <c r="BM83" s="43"/>
      <c r="BN83" s="43"/>
      <c r="BO83" s="43"/>
      <c r="BP83" s="43"/>
      <c r="BQ83" s="43"/>
      <c r="BR83" s="43"/>
      <c r="BS83" s="43"/>
      <c r="BT83" s="43"/>
      <c r="BU83" s="43"/>
      <c r="BV83" s="43"/>
      <c r="BW83" s="43"/>
      <c r="BX83" s="43"/>
      <c r="BY83" s="43"/>
      <c r="BZ83" s="43"/>
      <c r="CA83" s="43"/>
      <c r="CB83" s="43"/>
      <c r="CC83" s="43"/>
      <c r="CD83" s="43"/>
      <c r="CE83" s="43"/>
    </row>
    <row r="84" spans="1:83" ht="14.25" customHeight="1" x14ac:dyDescent="0.25">
      <c r="A84" s="14"/>
      <c r="B84" s="14"/>
      <c r="C84" s="29"/>
      <c r="D84" s="14"/>
      <c r="E84" s="14"/>
      <c r="F84" s="29"/>
      <c r="G84" s="29"/>
      <c r="H84" s="43"/>
      <c r="I84" s="43"/>
      <c r="J84" s="43"/>
      <c r="K84" s="43"/>
      <c r="L84" s="43"/>
      <c r="M84" s="44"/>
      <c r="N84" s="44"/>
      <c r="O84" s="44"/>
      <c r="P84" s="44"/>
      <c r="Q84" s="44"/>
      <c r="R84" s="44"/>
      <c r="S84" s="44"/>
      <c r="T84" s="45"/>
      <c r="U84" s="45"/>
      <c r="V84" s="45"/>
      <c r="W84" s="45"/>
      <c r="X84" s="45"/>
      <c r="Y84" s="45"/>
      <c r="Z84" s="45"/>
      <c r="AA84" s="45"/>
      <c r="AB84" s="44"/>
      <c r="AC84" s="44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  <c r="BK84" s="43"/>
      <c r="BL84" s="43"/>
      <c r="BM84" s="43"/>
      <c r="BN84" s="43"/>
      <c r="BO84" s="43"/>
      <c r="BP84" s="43"/>
      <c r="BQ84" s="43"/>
      <c r="BR84" s="43"/>
      <c r="BS84" s="43"/>
      <c r="BT84" s="43"/>
      <c r="BU84" s="43"/>
      <c r="BV84" s="43"/>
      <c r="BW84" s="43"/>
      <c r="BX84" s="43"/>
      <c r="BY84" s="43"/>
      <c r="BZ84" s="43"/>
      <c r="CA84" s="43"/>
      <c r="CB84" s="43"/>
      <c r="CC84" s="43"/>
      <c r="CD84" s="43"/>
      <c r="CE84" s="43"/>
    </row>
    <row r="85" spans="1:83" ht="14.25" customHeight="1" x14ac:dyDescent="0.25">
      <c r="A85" s="14"/>
      <c r="B85" s="14"/>
      <c r="C85" s="29"/>
      <c r="D85" s="29"/>
      <c r="E85" s="29"/>
      <c r="F85" s="42"/>
      <c r="G85" s="42"/>
      <c r="H85" s="43"/>
      <c r="I85" s="43"/>
      <c r="J85" s="43"/>
      <c r="K85" s="43"/>
      <c r="L85" s="43"/>
      <c r="M85" s="44"/>
      <c r="N85" s="44"/>
      <c r="O85" s="44"/>
      <c r="P85" s="44"/>
      <c r="Q85" s="44"/>
      <c r="R85" s="44"/>
      <c r="S85" s="44"/>
      <c r="T85" s="45"/>
      <c r="U85" s="45"/>
      <c r="V85" s="45"/>
      <c r="W85" s="45"/>
      <c r="X85" s="45"/>
      <c r="Y85" s="45"/>
      <c r="Z85" s="45"/>
      <c r="AA85" s="45"/>
      <c r="AB85" s="44"/>
      <c r="AC85" s="44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  <c r="BJ85" s="43"/>
      <c r="BK85" s="43"/>
      <c r="BL85" s="43"/>
      <c r="BM85" s="43"/>
      <c r="BN85" s="43"/>
      <c r="BO85" s="43"/>
      <c r="BP85" s="43"/>
      <c r="BQ85" s="43"/>
      <c r="BR85" s="43"/>
      <c r="BS85" s="43"/>
      <c r="BT85" s="43"/>
      <c r="BU85" s="43"/>
      <c r="BV85" s="43"/>
      <c r="BW85" s="43"/>
      <c r="BX85" s="43"/>
      <c r="BY85" s="43"/>
      <c r="BZ85" s="43"/>
      <c r="CA85" s="43"/>
      <c r="CB85" s="43"/>
      <c r="CC85" s="43"/>
      <c r="CD85" s="43"/>
      <c r="CE85" s="43"/>
    </row>
    <row r="86" spans="1:83" ht="14.25" customHeight="1" x14ac:dyDescent="0.25">
      <c r="A86" s="14"/>
      <c r="B86" s="14"/>
      <c r="C86" s="29"/>
      <c r="D86" s="14"/>
      <c r="E86" s="14"/>
      <c r="F86" s="42"/>
      <c r="G86" s="42"/>
      <c r="H86" s="43"/>
      <c r="I86" s="43"/>
      <c r="J86" s="43"/>
      <c r="K86" s="43"/>
      <c r="L86" s="43"/>
      <c r="M86" s="44"/>
      <c r="N86" s="44"/>
      <c r="O86" s="44"/>
      <c r="P86" s="44"/>
      <c r="Q86" s="44"/>
      <c r="R86" s="44"/>
      <c r="S86" s="44"/>
      <c r="T86" s="45"/>
      <c r="U86" s="45"/>
      <c r="V86" s="45"/>
      <c r="W86" s="45"/>
      <c r="X86" s="45"/>
      <c r="Y86" s="45"/>
      <c r="Z86" s="45"/>
      <c r="AA86" s="45"/>
      <c r="AB86" s="44"/>
      <c r="AC86" s="44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  <c r="BJ86" s="43"/>
      <c r="BK86" s="43"/>
      <c r="BL86" s="43"/>
      <c r="BM86" s="43"/>
      <c r="BN86" s="43"/>
      <c r="BO86" s="43"/>
      <c r="BP86" s="43"/>
      <c r="BQ86" s="43"/>
      <c r="BR86" s="43"/>
      <c r="BS86" s="43"/>
      <c r="BT86" s="43"/>
      <c r="BU86" s="43"/>
      <c r="BV86" s="43"/>
      <c r="BW86" s="43"/>
      <c r="BX86" s="43"/>
      <c r="BY86" s="43"/>
      <c r="BZ86" s="43"/>
      <c r="CA86" s="43"/>
      <c r="CB86" s="43"/>
      <c r="CC86" s="43"/>
      <c r="CD86" s="43"/>
      <c r="CE86" s="43"/>
    </row>
    <row r="87" spans="1:83" ht="14.25" customHeight="1" x14ac:dyDescent="0.25">
      <c r="A87" s="14"/>
      <c r="B87" s="14"/>
      <c r="C87" s="29"/>
      <c r="D87" s="14"/>
      <c r="E87" s="14"/>
      <c r="F87" s="29"/>
      <c r="G87" s="29"/>
      <c r="H87" s="43"/>
      <c r="I87" s="43"/>
      <c r="J87" s="43"/>
      <c r="K87" s="43"/>
      <c r="L87" s="43"/>
      <c r="M87" s="44"/>
      <c r="N87" s="44"/>
      <c r="O87" s="44"/>
      <c r="P87" s="44"/>
      <c r="Q87" s="44"/>
      <c r="R87" s="44"/>
      <c r="S87" s="44"/>
      <c r="T87" s="45"/>
      <c r="U87" s="45"/>
      <c r="V87" s="45"/>
      <c r="W87" s="45"/>
      <c r="X87" s="45"/>
      <c r="Y87" s="45"/>
      <c r="Z87" s="45"/>
      <c r="AA87" s="45"/>
      <c r="AB87" s="44"/>
      <c r="AC87" s="44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  <c r="BJ87" s="43"/>
      <c r="BK87" s="43"/>
      <c r="BL87" s="43"/>
      <c r="BM87" s="43"/>
      <c r="BN87" s="43"/>
      <c r="BO87" s="43"/>
      <c r="BP87" s="43"/>
      <c r="BQ87" s="43"/>
      <c r="BR87" s="43"/>
      <c r="BS87" s="43"/>
      <c r="BT87" s="43"/>
      <c r="BU87" s="43"/>
      <c r="BV87" s="43"/>
      <c r="BW87" s="43"/>
      <c r="BX87" s="43"/>
      <c r="BY87" s="43"/>
      <c r="BZ87" s="43"/>
      <c r="CA87" s="43"/>
      <c r="CB87" s="43"/>
      <c r="CC87" s="43"/>
      <c r="CD87" s="43"/>
      <c r="CE87" s="43"/>
    </row>
    <row r="88" spans="1:83" ht="14.25" customHeight="1" x14ac:dyDescent="0.25">
      <c r="A88" s="14"/>
      <c r="B88" s="14"/>
      <c r="C88" s="29"/>
      <c r="D88" s="29"/>
      <c r="E88" s="29"/>
      <c r="F88" s="29"/>
      <c r="G88" s="29"/>
      <c r="H88" s="43"/>
      <c r="I88" s="43"/>
      <c r="J88" s="43"/>
      <c r="K88" s="43"/>
      <c r="L88" s="43"/>
      <c r="M88" s="44"/>
      <c r="N88" s="44"/>
      <c r="O88" s="44"/>
      <c r="P88" s="44"/>
      <c r="Q88" s="44"/>
      <c r="R88" s="44"/>
      <c r="S88" s="44"/>
      <c r="T88" s="45"/>
      <c r="U88" s="45"/>
      <c r="V88" s="45"/>
      <c r="W88" s="45"/>
      <c r="X88" s="45"/>
      <c r="Y88" s="45"/>
      <c r="Z88" s="45"/>
      <c r="AA88" s="45"/>
      <c r="AB88" s="44"/>
      <c r="AC88" s="44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  <c r="AQ88" s="43"/>
      <c r="AR88" s="43"/>
      <c r="AS88" s="43"/>
      <c r="AT88" s="43"/>
      <c r="AU88" s="43"/>
      <c r="AV88" s="43"/>
      <c r="AW88" s="43"/>
      <c r="AX88" s="43"/>
      <c r="AY88" s="43"/>
      <c r="AZ88" s="43"/>
      <c r="BA88" s="43"/>
      <c r="BB88" s="43"/>
      <c r="BC88" s="43"/>
      <c r="BD88" s="43"/>
      <c r="BE88" s="43"/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  <c r="BS88" s="43"/>
      <c r="BT88" s="43"/>
      <c r="BU88" s="43"/>
      <c r="BV88" s="43"/>
      <c r="BW88" s="43"/>
      <c r="BX88" s="43"/>
      <c r="BY88" s="43"/>
      <c r="BZ88" s="43"/>
      <c r="CA88" s="43"/>
      <c r="CB88" s="43"/>
      <c r="CC88" s="43"/>
      <c r="CD88" s="43"/>
      <c r="CE88" s="43"/>
    </row>
    <row r="89" spans="1:83" ht="14.25" customHeight="1" x14ac:dyDescent="0.25">
      <c r="A89" s="14"/>
      <c r="B89" s="14"/>
      <c r="C89" s="29"/>
      <c r="D89" s="14"/>
      <c r="E89" s="14"/>
      <c r="F89" s="29"/>
      <c r="G89" s="29"/>
      <c r="H89" s="43"/>
      <c r="I89" s="43"/>
      <c r="J89" s="43"/>
      <c r="K89" s="43"/>
      <c r="L89" s="43"/>
      <c r="M89" s="44"/>
      <c r="N89" s="44"/>
      <c r="O89" s="44"/>
      <c r="P89" s="44"/>
      <c r="Q89" s="44"/>
      <c r="R89" s="44"/>
      <c r="S89" s="44"/>
      <c r="T89" s="45"/>
      <c r="U89" s="45"/>
      <c r="V89" s="45"/>
      <c r="W89" s="45"/>
      <c r="X89" s="45"/>
      <c r="Y89" s="45"/>
      <c r="Z89" s="45"/>
      <c r="AA89" s="45"/>
      <c r="AB89" s="44"/>
      <c r="AC89" s="44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  <c r="AQ89" s="43"/>
      <c r="AR89" s="43"/>
      <c r="AS89" s="43"/>
      <c r="AT89" s="43"/>
      <c r="AU89" s="43"/>
      <c r="AV89" s="43"/>
      <c r="AW89" s="43"/>
      <c r="AX89" s="43"/>
      <c r="AY89" s="43"/>
      <c r="AZ89" s="43"/>
      <c r="BA89" s="43"/>
      <c r="BB89" s="43"/>
      <c r="BC89" s="43"/>
      <c r="BD89" s="43"/>
      <c r="BE89" s="43"/>
      <c r="BF89" s="43"/>
      <c r="BG89" s="43"/>
      <c r="BH89" s="43"/>
      <c r="BI89" s="43"/>
      <c r="BJ89" s="43"/>
      <c r="BK89" s="43"/>
      <c r="BL89" s="43"/>
      <c r="BM89" s="43"/>
      <c r="BN89" s="43"/>
      <c r="BO89" s="43"/>
      <c r="BP89" s="43"/>
      <c r="BQ89" s="43"/>
      <c r="BR89" s="43"/>
      <c r="BS89" s="43"/>
      <c r="BT89" s="43"/>
      <c r="BU89" s="43"/>
      <c r="BV89" s="43"/>
      <c r="BW89" s="43"/>
      <c r="BX89" s="43"/>
      <c r="BY89" s="43"/>
      <c r="BZ89" s="43"/>
      <c r="CA89" s="43"/>
      <c r="CB89" s="43"/>
      <c r="CC89" s="43"/>
      <c r="CD89" s="43"/>
      <c r="CE89" s="43"/>
    </row>
    <row r="90" spans="1:83" ht="14.25" customHeight="1" x14ac:dyDescent="0.25">
      <c r="A90" s="14"/>
      <c r="B90" s="14"/>
      <c r="C90" s="29"/>
      <c r="D90" s="14"/>
      <c r="E90" s="14"/>
      <c r="F90" s="29"/>
      <c r="G90" s="29"/>
      <c r="H90" s="43"/>
      <c r="I90" s="43"/>
      <c r="J90" s="43"/>
      <c r="K90" s="43"/>
      <c r="L90" s="43"/>
      <c r="M90" s="44"/>
      <c r="N90" s="44"/>
      <c r="O90" s="44"/>
      <c r="P90" s="44"/>
      <c r="Q90" s="44"/>
      <c r="R90" s="44"/>
      <c r="S90" s="44"/>
      <c r="T90" s="45"/>
      <c r="U90" s="45"/>
      <c r="V90" s="45"/>
      <c r="W90" s="45"/>
      <c r="X90" s="45"/>
      <c r="Y90" s="45"/>
      <c r="Z90" s="45"/>
      <c r="AA90" s="45"/>
      <c r="AB90" s="44"/>
      <c r="AC90" s="44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  <c r="AQ90" s="43"/>
      <c r="AR90" s="43"/>
      <c r="AS90" s="43"/>
      <c r="AT90" s="43"/>
      <c r="AU90" s="43"/>
      <c r="AV90" s="43"/>
      <c r="AW90" s="43"/>
      <c r="AX90" s="43"/>
      <c r="AY90" s="43"/>
      <c r="AZ90" s="43"/>
      <c r="BA90" s="43"/>
      <c r="BB90" s="43"/>
      <c r="BC90" s="43"/>
      <c r="BD90" s="43"/>
      <c r="BE90" s="43"/>
      <c r="BF90" s="43"/>
      <c r="BG90" s="43"/>
      <c r="BH90" s="43"/>
      <c r="BI90" s="43"/>
      <c r="BJ90" s="43"/>
      <c r="BK90" s="43"/>
      <c r="BL90" s="43"/>
      <c r="BM90" s="43"/>
      <c r="BN90" s="43"/>
      <c r="BO90" s="43"/>
      <c r="BP90" s="43"/>
      <c r="BQ90" s="43"/>
      <c r="BR90" s="43"/>
      <c r="BS90" s="43"/>
      <c r="BT90" s="43"/>
      <c r="BU90" s="43"/>
      <c r="BV90" s="43"/>
      <c r="BW90" s="43"/>
      <c r="BX90" s="43"/>
      <c r="BY90" s="43"/>
      <c r="BZ90" s="43"/>
      <c r="CA90" s="43"/>
      <c r="CB90" s="43"/>
      <c r="CC90" s="43"/>
      <c r="CD90" s="43"/>
      <c r="CE90" s="43"/>
    </row>
    <row r="91" spans="1:83" ht="14.25" customHeight="1" x14ac:dyDescent="0.25">
      <c r="A91" s="14"/>
      <c r="B91" s="14"/>
      <c r="C91" s="29"/>
      <c r="D91" s="29"/>
      <c r="E91" s="29"/>
      <c r="F91" s="29"/>
      <c r="G91" s="29"/>
      <c r="H91" s="43"/>
      <c r="I91" s="43"/>
      <c r="J91" s="43"/>
      <c r="K91" s="43"/>
      <c r="L91" s="43"/>
      <c r="M91" s="44"/>
      <c r="N91" s="44"/>
      <c r="O91" s="44"/>
      <c r="P91" s="44"/>
      <c r="Q91" s="44"/>
      <c r="R91" s="44"/>
      <c r="S91" s="44"/>
      <c r="T91" s="45"/>
      <c r="U91" s="45"/>
      <c r="V91" s="45"/>
      <c r="W91" s="45"/>
      <c r="X91" s="45"/>
      <c r="Y91" s="45"/>
      <c r="Z91" s="45"/>
      <c r="AA91" s="45"/>
      <c r="AB91" s="44"/>
      <c r="AC91" s="44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  <c r="BU91" s="43"/>
      <c r="BV91" s="43"/>
      <c r="BW91" s="43"/>
      <c r="BX91" s="43"/>
      <c r="BY91" s="43"/>
      <c r="BZ91" s="43"/>
      <c r="CA91" s="43"/>
      <c r="CB91" s="43"/>
      <c r="CC91" s="43"/>
      <c r="CD91" s="43"/>
      <c r="CE91" s="43"/>
    </row>
    <row r="92" spans="1:83" ht="14.25" customHeight="1" x14ac:dyDescent="0.25">
      <c r="A92" s="14"/>
      <c r="B92" s="14"/>
      <c r="C92" s="29"/>
      <c r="D92" s="14"/>
      <c r="E92" s="14"/>
      <c r="F92" s="29"/>
      <c r="G92" s="29"/>
      <c r="H92" s="43"/>
      <c r="I92" s="43"/>
      <c r="J92" s="43"/>
      <c r="K92" s="43"/>
      <c r="L92" s="43"/>
      <c r="M92" s="44"/>
      <c r="N92" s="44"/>
      <c r="O92" s="44"/>
      <c r="P92" s="44"/>
      <c r="Q92" s="44"/>
      <c r="R92" s="44"/>
      <c r="S92" s="44"/>
      <c r="T92" s="45"/>
      <c r="U92" s="45"/>
      <c r="V92" s="45"/>
      <c r="W92" s="45"/>
      <c r="X92" s="45"/>
      <c r="Y92" s="45"/>
      <c r="Z92" s="45"/>
      <c r="AA92" s="45"/>
      <c r="AB92" s="44"/>
      <c r="AC92" s="44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  <c r="AQ92" s="43"/>
      <c r="AR92" s="43"/>
      <c r="AS92" s="43"/>
      <c r="AT92" s="43"/>
      <c r="AU92" s="43"/>
      <c r="AV92" s="43"/>
      <c r="AW92" s="43"/>
      <c r="AX92" s="43"/>
      <c r="AY92" s="43"/>
      <c r="AZ92" s="43"/>
      <c r="BA92" s="43"/>
      <c r="BB92" s="43"/>
      <c r="BC92" s="43"/>
      <c r="BD92" s="43"/>
      <c r="BE92" s="43"/>
      <c r="BF92" s="43"/>
      <c r="BG92" s="43"/>
      <c r="BH92" s="43"/>
      <c r="BI92" s="43"/>
      <c r="BJ92" s="43"/>
      <c r="BK92" s="43"/>
      <c r="BL92" s="43"/>
      <c r="BM92" s="43"/>
      <c r="BN92" s="43"/>
      <c r="BO92" s="43"/>
      <c r="BP92" s="43"/>
      <c r="BQ92" s="43"/>
      <c r="BR92" s="43"/>
      <c r="BS92" s="43"/>
      <c r="BT92" s="43"/>
      <c r="BU92" s="43"/>
      <c r="BV92" s="43"/>
      <c r="BW92" s="43"/>
      <c r="BX92" s="43"/>
      <c r="BY92" s="43"/>
      <c r="BZ92" s="43"/>
      <c r="CA92" s="43"/>
      <c r="CB92" s="43"/>
      <c r="CC92" s="43"/>
      <c r="CD92" s="43"/>
      <c r="CE92" s="43"/>
    </row>
    <row r="93" spans="1:83" ht="14.25" customHeight="1" x14ac:dyDescent="0.25">
      <c r="A93" s="14"/>
      <c r="B93" s="14"/>
      <c r="C93" s="29"/>
      <c r="D93" s="14"/>
      <c r="E93" s="14"/>
      <c r="F93" s="29"/>
      <c r="G93" s="29"/>
      <c r="H93" s="43"/>
      <c r="I93" s="43"/>
      <c r="J93" s="43"/>
      <c r="K93" s="43"/>
      <c r="L93" s="43"/>
      <c r="M93" s="44"/>
      <c r="N93" s="44"/>
      <c r="O93" s="44"/>
      <c r="P93" s="44"/>
      <c r="Q93" s="44"/>
      <c r="R93" s="44"/>
      <c r="S93" s="44"/>
      <c r="T93" s="45"/>
      <c r="U93" s="45"/>
      <c r="V93" s="45"/>
      <c r="W93" s="45"/>
      <c r="X93" s="45"/>
      <c r="Y93" s="45"/>
      <c r="Z93" s="45"/>
      <c r="AA93" s="45"/>
      <c r="AB93" s="44"/>
      <c r="AC93" s="44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  <c r="BJ93" s="43"/>
      <c r="BK93" s="43"/>
      <c r="BL93" s="43"/>
      <c r="BM93" s="43"/>
      <c r="BN93" s="43"/>
      <c r="BO93" s="43"/>
      <c r="BP93" s="43"/>
      <c r="BQ93" s="43"/>
      <c r="BR93" s="43"/>
      <c r="BS93" s="43"/>
      <c r="BT93" s="43"/>
      <c r="BU93" s="43"/>
      <c r="BV93" s="43"/>
      <c r="BW93" s="43"/>
      <c r="BX93" s="43"/>
      <c r="BY93" s="43"/>
      <c r="BZ93" s="43"/>
      <c r="CA93" s="43"/>
      <c r="CB93" s="43"/>
      <c r="CC93" s="43"/>
      <c r="CD93" s="43"/>
      <c r="CE93" s="43"/>
    </row>
    <row r="94" spans="1:83" ht="14.25" customHeight="1" x14ac:dyDescent="0.25">
      <c r="A94" s="14"/>
      <c r="B94" s="14"/>
      <c r="C94" s="29"/>
      <c r="D94" s="29"/>
      <c r="E94" s="29"/>
      <c r="F94" s="29"/>
      <c r="G94" s="29"/>
      <c r="H94" s="43"/>
      <c r="I94" s="43"/>
      <c r="J94" s="43"/>
      <c r="K94" s="43"/>
      <c r="L94" s="43"/>
      <c r="M94" s="44"/>
      <c r="N94" s="44"/>
      <c r="O94" s="44"/>
      <c r="P94" s="44"/>
      <c r="Q94" s="44"/>
      <c r="R94" s="44"/>
      <c r="S94" s="44"/>
      <c r="T94" s="45"/>
      <c r="U94" s="45"/>
      <c r="V94" s="45"/>
      <c r="W94" s="45"/>
      <c r="X94" s="45"/>
      <c r="Y94" s="45"/>
      <c r="Z94" s="45"/>
      <c r="AA94" s="45"/>
      <c r="AB94" s="44"/>
      <c r="AC94" s="44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  <c r="BJ94" s="43"/>
      <c r="BK94" s="43"/>
      <c r="BL94" s="43"/>
      <c r="BM94" s="43"/>
      <c r="BN94" s="43"/>
      <c r="BO94" s="43"/>
      <c r="BP94" s="43"/>
      <c r="BQ94" s="43"/>
      <c r="BR94" s="43"/>
      <c r="BS94" s="43"/>
      <c r="BT94" s="43"/>
      <c r="BU94" s="43"/>
      <c r="BV94" s="43"/>
      <c r="BW94" s="43"/>
      <c r="BX94" s="43"/>
      <c r="BY94" s="43"/>
      <c r="BZ94" s="43"/>
      <c r="CA94" s="43"/>
      <c r="CB94" s="43"/>
      <c r="CC94" s="43"/>
      <c r="CD94" s="43"/>
      <c r="CE94" s="43"/>
    </row>
    <row r="95" spans="1:83" ht="14.25" customHeight="1" x14ac:dyDescent="0.25">
      <c r="A95" s="14"/>
      <c r="B95" s="14"/>
      <c r="C95" s="29"/>
      <c r="D95" s="14"/>
      <c r="E95" s="14"/>
      <c r="F95" s="29"/>
      <c r="G95" s="29"/>
      <c r="H95" s="43"/>
      <c r="I95" s="43"/>
      <c r="J95" s="43"/>
      <c r="K95" s="43"/>
      <c r="L95" s="43"/>
      <c r="M95" s="44"/>
      <c r="N95" s="44"/>
      <c r="O95" s="44"/>
      <c r="P95" s="44"/>
      <c r="Q95" s="44"/>
      <c r="R95" s="44"/>
      <c r="S95" s="44"/>
      <c r="T95" s="45"/>
      <c r="U95" s="45"/>
      <c r="V95" s="45"/>
      <c r="W95" s="45"/>
      <c r="X95" s="45"/>
      <c r="Y95" s="45"/>
      <c r="Z95" s="45"/>
      <c r="AA95" s="45"/>
      <c r="AB95" s="44"/>
      <c r="AC95" s="44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  <c r="BJ95" s="43"/>
      <c r="BK95" s="43"/>
      <c r="BL95" s="43"/>
      <c r="BM95" s="43"/>
      <c r="BN95" s="43"/>
      <c r="BO95" s="43"/>
      <c r="BP95" s="43"/>
      <c r="BQ95" s="43"/>
      <c r="BR95" s="43"/>
      <c r="BS95" s="43"/>
      <c r="BT95" s="43"/>
      <c r="BU95" s="43"/>
      <c r="BV95" s="43"/>
      <c r="BW95" s="43"/>
      <c r="BX95" s="43"/>
      <c r="BY95" s="43"/>
      <c r="BZ95" s="43"/>
      <c r="CA95" s="43"/>
      <c r="CB95" s="43"/>
      <c r="CC95" s="43"/>
      <c r="CD95" s="43"/>
      <c r="CE95" s="43"/>
    </row>
    <row r="96" spans="1:83" ht="14.25" customHeight="1" x14ac:dyDescent="0.25">
      <c r="A96" s="14"/>
      <c r="B96" s="14"/>
      <c r="C96" s="29"/>
      <c r="D96" s="14"/>
      <c r="E96" s="14"/>
      <c r="F96" s="29"/>
      <c r="G96" s="29"/>
      <c r="H96" s="43"/>
      <c r="I96" s="43"/>
      <c r="J96" s="43"/>
      <c r="K96" s="43"/>
      <c r="L96" s="43"/>
      <c r="M96" s="44"/>
      <c r="N96" s="44"/>
      <c r="O96" s="44"/>
      <c r="P96" s="44"/>
      <c r="Q96" s="44"/>
      <c r="R96" s="44"/>
      <c r="S96" s="44"/>
      <c r="T96" s="45"/>
      <c r="U96" s="45"/>
      <c r="V96" s="45"/>
      <c r="W96" s="45"/>
      <c r="X96" s="45"/>
      <c r="Y96" s="45"/>
      <c r="Z96" s="45"/>
      <c r="AA96" s="45"/>
      <c r="AB96" s="44"/>
      <c r="AC96" s="44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  <c r="BJ96" s="43"/>
      <c r="BK96" s="43"/>
      <c r="BL96" s="43"/>
      <c r="BM96" s="43"/>
      <c r="BN96" s="43"/>
      <c r="BO96" s="43"/>
      <c r="BP96" s="43"/>
      <c r="BQ96" s="43"/>
      <c r="BR96" s="43"/>
      <c r="BS96" s="43"/>
      <c r="BT96" s="43"/>
      <c r="BU96" s="43"/>
      <c r="BV96" s="43"/>
      <c r="BW96" s="43"/>
      <c r="BX96" s="43"/>
      <c r="BY96" s="43"/>
      <c r="BZ96" s="43"/>
      <c r="CA96" s="43"/>
      <c r="CB96" s="43"/>
      <c r="CC96" s="43"/>
      <c r="CD96" s="43"/>
      <c r="CE96" s="43"/>
    </row>
    <row r="97" spans="1:83" ht="14.25" customHeight="1" x14ac:dyDescent="0.25">
      <c r="A97" s="14"/>
      <c r="B97" s="14"/>
      <c r="C97" s="29"/>
      <c r="D97" s="29"/>
      <c r="E97" s="29"/>
      <c r="F97" s="42"/>
      <c r="G97" s="42"/>
      <c r="H97" s="43"/>
      <c r="I97" s="43"/>
      <c r="J97" s="43"/>
      <c r="K97" s="43"/>
      <c r="L97" s="43"/>
      <c r="M97" s="44"/>
      <c r="N97" s="44"/>
      <c r="O97" s="44"/>
      <c r="P97" s="44"/>
      <c r="Q97" s="44"/>
      <c r="R97" s="44"/>
      <c r="S97" s="44"/>
      <c r="T97" s="45"/>
      <c r="U97" s="45"/>
      <c r="V97" s="45"/>
      <c r="W97" s="45"/>
      <c r="X97" s="45"/>
      <c r="Y97" s="45"/>
      <c r="Z97" s="45"/>
      <c r="AA97" s="45"/>
      <c r="AB97" s="44"/>
      <c r="AC97" s="44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  <c r="BJ97" s="43"/>
      <c r="BK97" s="43"/>
      <c r="BL97" s="43"/>
      <c r="BM97" s="43"/>
      <c r="BN97" s="43"/>
      <c r="BO97" s="43"/>
      <c r="BP97" s="43"/>
      <c r="BQ97" s="43"/>
      <c r="BR97" s="43"/>
      <c r="BS97" s="43"/>
      <c r="BT97" s="43"/>
      <c r="BU97" s="43"/>
      <c r="BV97" s="43"/>
      <c r="BW97" s="43"/>
      <c r="BX97" s="43"/>
      <c r="BY97" s="43"/>
      <c r="BZ97" s="43"/>
      <c r="CA97" s="43"/>
      <c r="CB97" s="43"/>
      <c r="CC97" s="43"/>
      <c r="CD97" s="43"/>
      <c r="CE97" s="43"/>
    </row>
    <row r="98" spans="1:83" ht="14.25" customHeight="1" x14ac:dyDescent="0.25">
      <c r="A98" s="14"/>
      <c r="B98" s="14"/>
      <c r="C98" s="29"/>
      <c r="D98" s="29"/>
      <c r="E98" s="29"/>
      <c r="F98" s="29"/>
      <c r="G98" s="29"/>
      <c r="H98" s="43"/>
      <c r="I98" s="43"/>
      <c r="J98" s="43"/>
      <c r="K98" s="43"/>
      <c r="L98" s="43"/>
      <c r="M98" s="44"/>
      <c r="N98" s="44"/>
      <c r="O98" s="44"/>
      <c r="P98" s="44"/>
      <c r="Q98" s="44"/>
      <c r="R98" s="44"/>
      <c r="S98" s="44"/>
      <c r="T98" s="45"/>
      <c r="U98" s="45"/>
      <c r="V98" s="45"/>
      <c r="W98" s="45"/>
      <c r="X98" s="45"/>
      <c r="Y98" s="45"/>
      <c r="Z98" s="45"/>
      <c r="AA98" s="45"/>
      <c r="AB98" s="44"/>
      <c r="AC98" s="44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  <c r="BJ98" s="43"/>
      <c r="BK98" s="43"/>
      <c r="BL98" s="43"/>
      <c r="BM98" s="43"/>
      <c r="BN98" s="43"/>
      <c r="BO98" s="43"/>
      <c r="BP98" s="43"/>
      <c r="BQ98" s="43"/>
      <c r="BR98" s="43"/>
      <c r="BS98" s="43"/>
      <c r="BT98" s="43"/>
      <c r="BU98" s="43"/>
      <c r="BV98" s="43"/>
      <c r="BW98" s="43"/>
      <c r="BX98" s="43"/>
      <c r="BY98" s="43"/>
      <c r="BZ98" s="43"/>
      <c r="CA98" s="43"/>
      <c r="CB98" s="43"/>
      <c r="CC98" s="43"/>
      <c r="CD98" s="43"/>
      <c r="CE98" s="43"/>
    </row>
    <row r="99" spans="1:83" ht="14.25" customHeight="1" x14ac:dyDescent="0.25">
      <c r="A99" s="14"/>
      <c r="B99" s="14"/>
      <c r="C99" s="29"/>
      <c r="D99" s="14"/>
      <c r="E99" s="14"/>
      <c r="F99" s="29"/>
      <c r="G99" s="29"/>
      <c r="H99" s="43"/>
      <c r="I99" s="43"/>
      <c r="J99" s="43"/>
      <c r="K99" s="43"/>
      <c r="L99" s="43"/>
      <c r="M99" s="44"/>
      <c r="N99" s="44"/>
      <c r="O99" s="44"/>
      <c r="P99" s="44"/>
      <c r="Q99" s="44"/>
      <c r="R99" s="44"/>
      <c r="S99" s="44"/>
      <c r="T99" s="45"/>
      <c r="U99" s="45"/>
      <c r="V99" s="45"/>
      <c r="W99" s="45"/>
      <c r="X99" s="45"/>
      <c r="Y99" s="45"/>
      <c r="Z99" s="45"/>
      <c r="AA99" s="45"/>
      <c r="AB99" s="44"/>
      <c r="AC99" s="44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  <c r="BJ99" s="43"/>
      <c r="BK99" s="43"/>
      <c r="BL99" s="43"/>
      <c r="BM99" s="43"/>
      <c r="BN99" s="43"/>
      <c r="BO99" s="43"/>
      <c r="BP99" s="43"/>
      <c r="BQ99" s="43"/>
      <c r="BR99" s="43"/>
      <c r="BS99" s="43"/>
      <c r="BT99" s="43"/>
      <c r="BU99" s="43"/>
      <c r="BV99" s="43"/>
      <c r="BW99" s="43"/>
      <c r="BX99" s="43"/>
      <c r="BY99" s="43"/>
      <c r="BZ99" s="43"/>
      <c r="CA99" s="43"/>
      <c r="CB99" s="43"/>
      <c r="CC99" s="43"/>
      <c r="CD99" s="43"/>
      <c r="CE99" s="43"/>
    </row>
    <row r="100" spans="1:83" ht="14.25" customHeight="1" x14ac:dyDescent="0.25">
      <c r="A100" s="14"/>
      <c r="B100" s="14"/>
      <c r="C100" s="29"/>
      <c r="D100" s="14"/>
      <c r="E100" s="14"/>
      <c r="F100" s="29"/>
      <c r="G100" s="29"/>
      <c r="H100" s="43"/>
      <c r="I100" s="43"/>
      <c r="J100" s="43"/>
      <c r="K100" s="43"/>
      <c r="L100" s="43"/>
      <c r="M100" s="44"/>
      <c r="N100" s="44"/>
      <c r="O100" s="44"/>
      <c r="P100" s="44"/>
      <c r="Q100" s="44"/>
      <c r="R100" s="44"/>
      <c r="S100" s="44"/>
      <c r="T100" s="45"/>
      <c r="U100" s="45"/>
      <c r="V100" s="45"/>
      <c r="W100" s="45"/>
      <c r="X100" s="45"/>
      <c r="Y100" s="45"/>
      <c r="Z100" s="45"/>
      <c r="AA100" s="45"/>
      <c r="AB100" s="44"/>
      <c r="AC100" s="44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  <c r="BJ100" s="43"/>
      <c r="BK100" s="43"/>
      <c r="BL100" s="43"/>
      <c r="BM100" s="43"/>
      <c r="BN100" s="43"/>
      <c r="BO100" s="43"/>
      <c r="BP100" s="43"/>
      <c r="BQ100" s="43"/>
      <c r="BR100" s="43"/>
      <c r="BS100" s="43"/>
      <c r="BT100" s="43"/>
      <c r="BU100" s="43"/>
      <c r="BV100" s="43"/>
      <c r="BW100" s="43"/>
      <c r="BX100" s="43"/>
      <c r="BY100" s="43"/>
      <c r="BZ100" s="43"/>
      <c r="CA100" s="43"/>
      <c r="CB100" s="43"/>
      <c r="CC100" s="43"/>
      <c r="CD100" s="43"/>
      <c r="CE100" s="43"/>
    </row>
    <row r="101" spans="1:83" ht="14.25" customHeight="1" x14ac:dyDescent="0.25">
      <c r="A101" s="14"/>
      <c r="B101" s="14"/>
      <c r="C101" s="29"/>
      <c r="D101" s="29"/>
      <c r="E101" s="29"/>
      <c r="F101" s="29"/>
      <c r="G101" s="29"/>
      <c r="H101" s="43"/>
      <c r="I101" s="43"/>
      <c r="J101" s="43"/>
      <c r="K101" s="43"/>
      <c r="L101" s="43"/>
      <c r="M101" s="44"/>
      <c r="N101" s="44"/>
      <c r="O101" s="44"/>
      <c r="P101" s="44"/>
      <c r="Q101" s="44"/>
      <c r="R101" s="44"/>
      <c r="S101" s="44"/>
      <c r="T101" s="45"/>
      <c r="U101" s="45"/>
      <c r="V101" s="45"/>
      <c r="W101" s="45"/>
      <c r="X101" s="45"/>
      <c r="Y101" s="45"/>
      <c r="Z101" s="45"/>
      <c r="AA101" s="45"/>
      <c r="AB101" s="44"/>
      <c r="AC101" s="44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  <c r="BJ101" s="43"/>
      <c r="BK101" s="43"/>
      <c r="BL101" s="43"/>
      <c r="BM101" s="43"/>
      <c r="BN101" s="43"/>
      <c r="BO101" s="43"/>
      <c r="BP101" s="43"/>
      <c r="BQ101" s="43"/>
      <c r="BR101" s="43"/>
      <c r="BS101" s="43"/>
      <c r="BT101" s="43"/>
      <c r="BU101" s="43"/>
      <c r="BV101" s="43"/>
      <c r="BW101" s="43"/>
      <c r="BX101" s="43"/>
      <c r="BY101" s="43"/>
      <c r="BZ101" s="43"/>
      <c r="CA101" s="43"/>
      <c r="CB101" s="43"/>
      <c r="CC101" s="43"/>
      <c r="CD101" s="43"/>
      <c r="CE101" s="43"/>
    </row>
    <row r="102" spans="1:83" ht="14.25" customHeight="1" x14ac:dyDescent="0.25">
      <c r="A102" s="14"/>
      <c r="B102" s="14"/>
      <c r="C102" s="29"/>
      <c r="D102" s="14"/>
      <c r="E102" s="14"/>
      <c r="F102" s="29"/>
      <c r="G102" s="29"/>
      <c r="H102" s="43"/>
      <c r="I102" s="43"/>
      <c r="J102" s="43"/>
      <c r="K102" s="43"/>
      <c r="L102" s="43"/>
      <c r="M102" s="44"/>
      <c r="N102" s="44"/>
      <c r="O102" s="44"/>
      <c r="P102" s="44"/>
      <c r="Q102" s="44"/>
      <c r="R102" s="44"/>
      <c r="S102" s="44"/>
      <c r="T102" s="45"/>
      <c r="U102" s="45"/>
      <c r="V102" s="45"/>
      <c r="W102" s="45"/>
      <c r="X102" s="45"/>
      <c r="Y102" s="45"/>
      <c r="Z102" s="45"/>
      <c r="AA102" s="45"/>
      <c r="AB102" s="44"/>
      <c r="AC102" s="44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  <c r="BS102" s="43"/>
      <c r="BT102" s="43"/>
      <c r="BU102" s="43"/>
      <c r="BV102" s="43"/>
      <c r="BW102" s="43"/>
      <c r="BX102" s="43"/>
      <c r="BY102" s="43"/>
      <c r="BZ102" s="43"/>
      <c r="CA102" s="43"/>
      <c r="CB102" s="43"/>
      <c r="CC102" s="43"/>
      <c r="CD102" s="43"/>
      <c r="CE102" s="43"/>
    </row>
    <row r="103" spans="1:83" ht="14.25" customHeight="1" x14ac:dyDescent="0.25">
      <c r="A103" s="14"/>
      <c r="B103" s="14"/>
      <c r="C103" s="29"/>
      <c r="D103" s="14"/>
      <c r="E103" s="14"/>
      <c r="F103" s="29"/>
      <c r="G103" s="29"/>
      <c r="H103" s="43"/>
      <c r="I103" s="43"/>
      <c r="J103" s="43"/>
      <c r="K103" s="43"/>
      <c r="L103" s="43"/>
      <c r="M103" s="44"/>
      <c r="N103" s="44"/>
      <c r="O103" s="44"/>
      <c r="P103" s="44"/>
      <c r="Q103" s="44"/>
      <c r="R103" s="44"/>
      <c r="S103" s="44"/>
      <c r="T103" s="45"/>
      <c r="U103" s="45"/>
      <c r="V103" s="45"/>
      <c r="W103" s="45"/>
      <c r="X103" s="45"/>
      <c r="Y103" s="45"/>
      <c r="Z103" s="45"/>
      <c r="AA103" s="45"/>
      <c r="AB103" s="44"/>
      <c r="AC103" s="44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  <c r="BJ103" s="43"/>
      <c r="BK103" s="43"/>
      <c r="BL103" s="43"/>
      <c r="BM103" s="43"/>
      <c r="BN103" s="43"/>
      <c r="BO103" s="43"/>
      <c r="BP103" s="43"/>
      <c r="BQ103" s="43"/>
      <c r="BR103" s="43"/>
      <c r="BS103" s="43"/>
      <c r="BT103" s="43"/>
      <c r="BU103" s="43"/>
      <c r="BV103" s="43"/>
      <c r="BW103" s="43"/>
      <c r="BX103" s="43"/>
      <c r="BY103" s="43"/>
      <c r="BZ103" s="43"/>
      <c r="CA103" s="43"/>
      <c r="CB103" s="43"/>
      <c r="CC103" s="43"/>
      <c r="CD103" s="43"/>
      <c r="CE103" s="43"/>
    </row>
    <row r="104" spans="1:83" ht="14.25" customHeight="1" x14ac:dyDescent="0.25">
      <c r="A104" s="14"/>
      <c r="B104" s="14"/>
      <c r="C104" s="29"/>
      <c r="D104" s="29"/>
      <c r="E104" s="29"/>
      <c r="F104" s="29"/>
      <c r="G104" s="29"/>
      <c r="H104" s="43"/>
      <c r="I104" s="43"/>
      <c r="J104" s="43"/>
      <c r="K104" s="43"/>
      <c r="L104" s="43"/>
      <c r="M104" s="44"/>
      <c r="N104" s="44"/>
      <c r="O104" s="44"/>
      <c r="P104" s="44"/>
      <c r="Q104" s="44"/>
      <c r="R104" s="44"/>
      <c r="S104" s="44"/>
      <c r="T104" s="45"/>
      <c r="U104" s="45"/>
      <c r="V104" s="45"/>
      <c r="W104" s="45"/>
      <c r="X104" s="45"/>
      <c r="Y104" s="45"/>
      <c r="Z104" s="45"/>
      <c r="AA104" s="45"/>
      <c r="AB104" s="44"/>
      <c r="AC104" s="44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  <c r="BJ104" s="43"/>
      <c r="BK104" s="43"/>
      <c r="BL104" s="43"/>
      <c r="BM104" s="43"/>
      <c r="BN104" s="43"/>
      <c r="BO104" s="43"/>
      <c r="BP104" s="43"/>
      <c r="BQ104" s="43"/>
      <c r="BR104" s="43"/>
      <c r="BS104" s="43"/>
      <c r="BT104" s="43"/>
      <c r="BU104" s="43"/>
      <c r="BV104" s="43"/>
      <c r="BW104" s="43"/>
      <c r="BX104" s="43"/>
      <c r="BY104" s="43"/>
      <c r="BZ104" s="43"/>
      <c r="CA104" s="43"/>
      <c r="CB104" s="43"/>
      <c r="CC104" s="43"/>
      <c r="CD104" s="43"/>
      <c r="CE104" s="43"/>
    </row>
    <row r="105" spans="1:83" ht="14.25" customHeight="1" x14ac:dyDescent="0.25">
      <c r="A105" s="14"/>
      <c r="B105" s="14"/>
      <c r="C105" s="29"/>
      <c r="D105" s="14"/>
      <c r="E105" s="14"/>
      <c r="F105" s="29"/>
      <c r="G105" s="29"/>
      <c r="H105" s="43"/>
      <c r="I105" s="43"/>
      <c r="J105" s="43"/>
      <c r="K105" s="43"/>
      <c r="L105" s="43"/>
      <c r="M105" s="44"/>
      <c r="N105" s="44"/>
      <c r="O105" s="44"/>
      <c r="P105" s="44"/>
      <c r="Q105" s="44"/>
      <c r="R105" s="44"/>
      <c r="S105" s="44"/>
      <c r="T105" s="45"/>
      <c r="U105" s="45"/>
      <c r="V105" s="45"/>
      <c r="W105" s="45"/>
      <c r="X105" s="45"/>
      <c r="Y105" s="45"/>
      <c r="Z105" s="45"/>
      <c r="AA105" s="45"/>
      <c r="AB105" s="44"/>
      <c r="AC105" s="44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  <c r="BJ105" s="43"/>
      <c r="BK105" s="43"/>
      <c r="BL105" s="43"/>
      <c r="BM105" s="43"/>
      <c r="BN105" s="43"/>
      <c r="BO105" s="43"/>
      <c r="BP105" s="43"/>
      <c r="BQ105" s="43"/>
      <c r="BR105" s="43"/>
      <c r="BS105" s="43"/>
      <c r="BT105" s="43"/>
      <c r="BU105" s="43"/>
      <c r="BV105" s="43"/>
      <c r="BW105" s="43"/>
      <c r="BX105" s="43"/>
      <c r="BY105" s="43"/>
      <c r="BZ105" s="43"/>
      <c r="CA105" s="43"/>
      <c r="CB105" s="43"/>
      <c r="CC105" s="43"/>
      <c r="CD105" s="43"/>
      <c r="CE105" s="43"/>
    </row>
    <row r="106" spans="1:83" ht="14.25" customHeight="1" x14ac:dyDescent="0.25">
      <c r="A106" s="14"/>
      <c r="B106" s="14"/>
      <c r="C106" s="29"/>
      <c r="D106" s="14"/>
      <c r="E106" s="14"/>
      <c r="F106" s="29"/>
      <c r="G106" s="29"/>
      <c r="H106" s="43"/>
      <c r="I106" s="43"/>
      <c r="J106" s="43"/>
      <c r="K106" s="43"/>
      <c r="L106" s="43"/>
      <c r="M106" s="44"/>
      <c r="N106" s="44"/>
      <c r="O106" s="44"/>
      <c r="P106" s="44"/>
      <c r="Q106" s="44"/>
      <c r="R106" s="44"/>
      <c r="S106" s="44"/>
      <c r="T106" s="45"/>
      <c r="U106" s="45"/>
      <c r="V106" s="45"/>
      <c r="W106" s="45"/>
      <c r="X106" s="45"/>
      <c r="Y106" s="45"/>
      <c r="Z106" s="45"/>
      <c r="AA106" s="45"/>
      <c r="AB106" s="44"/>
      <c r="AC106" s="44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  <c r="BJ106" s="43"/>
      <c r="BK106" s="43"/>
      <c r="BL106" s="43"/>
      <c r="BM106" s="43"/>
      <c r="BN106" s="43"/>
      <c r="BO106" s="43"/>
      <c r="BP106" s="43"/>
      <c r="BQ106" s="43"/>
      <c r="BR106" s="43"/>
      <c r="BS106" s="43"/>
      <c r="BT106" s="43"/>
      <c r="BU106" s="43"/>
      <c r="BV106" s="43"/>
      <c r="BW106" s="43"/>
      <c r="BX106" s="43"/>
      <c r="BY106" s="43"/>
      <c r="BZ106" s="43"/>
      <c r="CA106" s="43"/>
      <c r="CB106" s="43"/>
      <c r="CC106" s="43"/>
      <c r="CD106" s="43"/>
      <c r="CE106" s="43"/>
    </row>
    <row r="107" spans="1:83" ht="14.25" customHeight="1" x14ac:dyDescent="0.25">
      <c r="A107" s="14"/>
      <c r="B107" s="14"/>
      <c r="C107" s="29"/>
      <c r="D107" s="29"/>
      <c r="E107" s="29"/>
      <c r="F107" s="29"/>
      <c r="G107" s="29"/>
      <c r="H107" s="43"/>
      <c r="I107" s="43"/>
      <c r="J107" s="43"/>
      <c r="K107" s="43"/>
      <c r="L107" s="43"/>
      <c r="M107" s="44"/>
      <c r="N107" s="44"/>
      <c r="O107" s="44"/>
      <c r="P107" s="44"/>
      <c r="Q107" s="44"/>
      <c r="R107" s="44"/>
      <c r="S107" s="44"/>
      <c r="T107" s="45"/>
      <c r="U107" s="45"/>
      <c r="V107" s="45"/>
      <c r="W107" s="45"/>
      <c r="X107" s="45"/>
      <c r="Y107" s="45"/>
      <c r="Z107" s="45"/>
      <c r="AA107" s="45"/>
      <c r="AB107" s="44"/>
      <c r="AC107" s="44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  <c r="BJ107" s="43"/>
      <c r="BK107" s="43"/>
      <c r="BL107" s="43"/>
      <c r="BM107" s="43"/>
      <c r="BN107" s="43"/>
      <c r="BO107" s="43"/>
      <c r="BP107" s="43"/>
      <c r="BQ107" s="43"/>
      <c r="BR107" s="43"/>
      <c r="BS107" s="43"/>
      <c r="BT107" s="43"/>
      <c r="BU107" s="43"/>
      <c r="BV107" s="43"/>
      <c r="BW107" s="43"/>
      <c r="BX107" s="43"/>
      <c r="BY107" s="43"/>
      <c r="BZ107" s="43"/>
      <c r="CA107" s="43"/>
      <c r="CB107" s="43"/>
      <c r="CC107" s="43"/>
      <c r="CD107" s="43"/>
      <c r="CE107" s="43"/>
    </row>
    <row r="108" spans="1:83" ht="14.25" customHeight="1" x14ac:dyDescent="0.25">
      <c r="A108" s="14"/>
      <c r="B108" s="14"/>
      <c r="C108" s="29"/>
      <c r="D108" s="14"/>
      <c r="E108" s="14"/>
      <c r="F108" s="29"/>
      <c r="G108" s="29"/>
      <c r="H108" s="43"/>
      <c r="I108" s="43"/>
      <c r="J108" s="43"/>
      <c r="K108" s="43"/>
      <c r="L108" s="43"/>
      <c r="M108" s="44"/>
      <c r="N108" s="44"/>
      <c r="O108" s="44"/>
      <c r="P108" s="44"/>
      <c r="Q108" s="44"/>
      <c r="R108" s="44"/>
      <c r="S108" s="44"/>
      <c r="T108" s="45"/>
      <c r="U108" s="45"/>
      <c r="V108" s="45"/>
      <c r="W108" s="45"/>
      <c r="X108" s="45"/>
      <c r="Y108" s="45"/>
      <c r="Z108" s="45"/>
      <c r="AA108" s="45"/>
      <c r="AB108" s="44"/>
      <c r="AC108" s="44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  <c r="BS108" s="43"/>
      <c r="BT108" s="43"/>
      <c r="BU108" s="43"/>
      <c r="BV108" s="43"/>
      <c r="BW108" s="43"/>
      <c r="BX108" s="43"/>
      <c r="BY108" s="43"/>
      <c r="BZ108" s="43"/>
      <c r="CA108" s="43"/>
      <c r="CB108" s="43"/>
      <c r="CC108" s="43"/>
      <c r="CD108" s="43"/>
      <c r="CE108" s="43"/>
    </row>
    <row r="109" spans="1:83" ht="14.25" customHeight="1" x14ac:dyDescent="0.25">
      <c r="A109" s="14"/>
      <c r="B109" s="14"/>
      <c r="C109" s="29"/>
      <c r="D109" s="14"/>
      <c r="E109" s="14"/>
      <c r="F109" s="29"/>
      <c r="G109" s="29"/>
      <c r="H109" s="43"/>
      <c r="I109" s="43"/>
      <c r="J109" s="43"/>
      <c r="K109" s="43"/>
      <c r="L109" s="43"/>
      <c r="M109" s="44"/>
      <c r="N109" s="44"/>
      <c r="O109" s="44"/>
      <c r="P109" s="44"/>
      <c r="Q109" s="44"/>
      <c r="R109" s="44"/>
      <c r="S109" s="44"/>
      <c r="T109" s="45"/>
      <c r="U109" s="45"/>
      <c r="V109" s="45"/>
      <c r="W109" s="45"/>
      <c r="X109" s="45"/>
      <c r="Y109" s="45"/>
      <c r="Z109" s="45"/>
      <c r="AA109" s="45"/>
      <c r="AB109" s="44"/>
      <c r="AC109" s="44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  <c r="AO109" s="43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  <c r="BJ109" s="43"/>
      <c r="BK109" s="43"/>
      <c r="BL109" s="43"/>
      <c r="BM109" s="43"/>
      <c r="BN109" s="43"/>
      <c r="BO109" s="43"/>
      <c r="BP109" s="43"/>
      <c r="BQ109" s="43"/>
      <c r="BR109" s="43"/>
      <c r="BS109" s="43"/>
      <c r="BT109" s="43"/>
      <c r="BU109" s="43"/>
      <c r="BV109" s="43"/>
      <c r="BW109" s="43"/>
      <c r="BX109" s="43"/>
      <c r="BY109" s="43"/>
      <c r="BZ109" s="43"/>
      <c r="CA109" s="43"/>
      <c r="CB109" s="43"/>
      <c r="CC109" s="43"/>
      <c r="CD109" s="43"/>
      <c r="CE109" s="43"/>
    </row>
    <row r="110" spans="1:83" ht="14.25" customHeight="1" x14ac:dyDescent="0.25">
      <c r="A110" s="14"/>
      <c r="B110" s="14"/>
      <c r="C110" s="29"/>
      <c r="D110" s="29"/>
      <c r="E110" s="29"/>
      <c r="F110" s="29"/>
      <c r="G110" s="29"/>
      <c r="H110" s="43"/>
      <c r="I110" s="43"/>
      <c r="J110" s="43"/>
      <c r="K110" s="43"/>
      <c r="L110" s="43"/>
      <c r="M110" s="44"/>
      <c r="N110" s="44"/>
      <c r="O110" s="44"/>
      <c r="P110" s="44"/>
      <c r="Q110" s="44"/>
      <c r="R110" s="44"/>
      <c r="S110" s="44"/>
      <c r="T110" s="45"/>
      <c r="U110" s="45"/>
      <c r="V110" s="45"/>
      <c r="W110" s="45"/>
      <c r="X110" s="45"/>
      <c r="Y110" s="45"/>
      <c r="Z110" s="45"/>
      <c r="AA110" s="45"/>
      <c r="AB110" s="44"/>
      <c r="AC110" s="44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  <c r="AO110" s="43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  <c r="BJ110" s="43"/>
      <c r="BK110" s="43"/>
      <c r="BL110" s="43"/>
      <c r="BM110" s="43"/>
      <c r="BN110" s="43"/>
      <c r="BO110" s="43"/>
      <c r="BP110" s="43"/>
      <c r="BQ110" s="43"/>
      <c r="BR110" s="43"/>
      <c r="BS110" s="43"/>
      <c r="BT110" s="43"/>
      <c r="BU110" s="43"/>
      <c r="BV110" s="43"/>
      <c r="BW110" s="43"/>
      <c r="BX110" s="43"/>
      <c r="BY110" s="43"/>
      <c r="BZ110" s="43"/>
      <c r="CA110" s="43"/>
      <c r="CB110" s="43"/>
      <c r="CC110" s="43"/>
      <c r="CD110" s="43"/>
      <c r="CE110" s="43"/>
    </row>
    <row r="111" spans="1:83" ht="14.25" customHeight="1" x14ac:dyDescent="0.25">
      <c r="A111" s="14"/>
      <c r="B111" s="14"/>
      <c r="C111" s="29"/>
      <c r="D111" s="14"/>
      <c r="E111" s="14"/>
      <c r="F111" s="29"/>
      <c r="G111" s="29"/>
      <c r="H111" s="43"/>
      <c r="I111" s="43"/>
      <c r="J111" s="43"/>
      <c r="K111" s="43"/>
      <c r="L111" s="43"/>
      <c r="M111" s="44"/>
      <c r="N111" s="44"/>
      <c r="O111" s="44"/>
      <c r="P111" s="44"/>
      <c r="Q111" s="44"/>
      <c r="R111" s="44"/>
      <c r="S111" s="44"/>
      <c r="T111" s="45"/>
      <c r="U111" s="45"/>
      <c r="V111" s="45"/>
      <c r="W111" s="45"/>
      <c r="X111" s="45"/>
      <c r="Y111" s="45"/>
      <c r="Z111" s="45"/>
      <c r="AA111" s="45"/>
      <c r="AB111" s="44"/>
      <c r="AC111" s="44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  <c r="BS111" s="43"/>
      <c r="BT111" s="43"/>
      <c r="BU111" s="43"/>
      <c r="BV111" s="43"/>
      <c r="BW111" s="43"/>
      <c r="BX111" s="43"/>
      <c r="BY111" s="43"/>
      <c r="BZ111" s="43"/>
      <c r="CA111" s="43"/>
      <c r="CB111" s="43"/>
      <c r="CC111" s="43"/>
      <c r="CD111" s="43"/>
      <c r="CE111" s="43"/>
    </row>
    <row r="112" spans="1:83" ht="14.25" customHeight="1" x14ac:dyDescent="0.25">
      <c r="A112" s="14"/>
      <c r="B112" s="14"/>
      <c r="C112" s="29"/>
      <c r="D112" s="14"/>
      <c r="E112" s="14"/>
      <c r="F112" s="29"/>
      <c r="G112" s="29"/>
      <c r="H112" s="43"/>
      <c r="I112" s="43"/>
      <c r="J112" s="43"/>
      <c r="K112" s="43"/>
      <c r="L112" s="43"/>
      <c r="M112" s="44"/>
      <c r="N112" s="44"/>
      <c r="O112" s="44"/>
      <c r="P112" s="44"/>
      <c r="Q112" s="44"/>
      <c r="R112" s="44"/>
      <c r="S112" s="44"/>
      <c r="T112" s="45"/>
      <c r="U112" s="45"/>
      <c r="V112" s="45"/>
      <c r="W112" s="45"/>
      <c r="X112" s="45"/>
      <c r="Y112" s="45"/>
      <c r="Z112" s="45"/>
      <c r="AA112" s="45"/>
      <c r="AB112" s="44"/>
      <c r="AC112" s="44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  <c r="BU112" s="43"/>
      <c r="BV112" s="43"/>
      <c r="BW112" s="43"/>
      <c r="BX112" s="43"/>
      <c r="BY112" s="43"/>
      <c r="BZ112" s="43"/>
      <c r="CA112" s="43"/>
      <c r="CB112" s="43"/>
      <c r="CC112" s="43"/>
      <c r="CD112" s="43"/>
      <c r="CE112" s="43"/>
    </row>
    <row r="113" spans="1:83" ht="14.25" customHeight="1" x14ac:dyDescent="0.25">
      <c r="A113" s="14"/>
      <c r="B113" s="14"/>
      <c r="C113" s="29"/>
      <c r="D113" s="29"/>
      <c r="E113" s="29"/>
      <c r="F113" s="29"/>
      <c r="G113" s="29"/>
      <c r="H113" s="43"/>
      <c r="I113" s="43"/>
      <c r="J113" s="43"/>
      <c r="K113" s="43"/>
      <c r="L113" s="43"/>
      <c r="M113" s="44"/>
      <c r="N113" s="44"/>
      <c r="O113" s="44"/>
      <c r="P113" s="44"/>
      <c r="Q113" s="44"/>
      <c r="R113" s="44"/>
      <c r="S113" s="44"/>
      <c r="T113" s="45"/>
      <c r="U113" s="45"/>
      <c r="V113" s="45"/>
      <c r="W113" s="45"/>
      <c r="X113" s="45"/>
      <c r="Y113" s="45"/>
      <c r="Z113" s="45"/>
      <c r="AA113" s="45"/>
      <c r="AB113" s="44"/>
      <c r="AC113" s="44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/>
      <c r="BR113" s="43"/>
      <c r="BS113" s="43"/>
      <c r="BT113" s="43"/>
      <c r="BU113" s="43"/>
      <c r="BV113" s="43"/>
      <c r="BW113" s="43"/>
      <c r="BX113" s="43"/>
      <c r="BY113" s="43"/>
      <c r="BZ113" s="43"/>
      <c r="CA113" s="43"/>
      <c r="CB113" s="43"/>
      <c r="CC113" s="43"/>
      <c r="CD113" s="43"/>
      <c r="CE113" s="43"/>
    </row>
    <row r="114" spans="1:83" ht="14.25" customHeight="1" x14ac:dyDescent="0.25">
      <c r="A114" s="14"/>
      <c r="B114" s="14"/>
      <c r="C114" s="29"/>
      <c r="D114" s="14"/>
      <c r="E114" s="14"/>
      <c r="F114" s="29"/>
      <c r="G114" s="29"/>
      <c r="H114" s="43"/>
      <c r="I114" s="43"/>
      <c r="J114" s="43"/>
      <c r="K114" s="43"/>
      <c r="L114" s="43"/>
      <c r="M114" s="44"/>
      <c r="N114" s="44"/>
      <c r="O114" s="44"/>
      <c r="P114" s="44"/>
      <c r="Q114" s="44"/>
      <c r="R114" s="44"/>
      <c r="S114" s="44"/>
      <c r="T114" s="45"/>
      <c r="U114" s="45"/>
      <c r="V114" s="45"/>
      <c r="W114" s="45"/>
      <c r="X114" s="45"/>
      <c r="Y114" s="45"/>
      <c r="Z114" s="45"/>
      <c r="AA114" s="45"/>
      <c r="AB114" s="44"/>
      <c r="AC114" s="44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  <c r="BJ114" s="43"/>
      <c r="BK114" s="43"/>
      <c r="BL114" s="43"/>
      <c r="BM114" s="43"/>
      <c r="BN114" s="43"/>
      <c r="BO114" s="43"/>
      <c r="BP114" s="43"/>
      <c r="BQ114" s="43"/>
      <c r="BR114" s="43"/>
      <c r="BS114" s="43"/>
      <c r="BT114" s="43"/>
      <c r="BU114" s="43"/>
      <c r="BV114" s="43"/>
      <c r="BW114" s="43"/>
      <c r="BX114" s="43"/>
      <c r="BY114" s="43"/>
      <c r="BZ114" s="43"/>
      <c r="CA114" s="43"/>
      <c r="CB114" s="43"/>
      <c r="CC114" s="43"/>
      <c r="CD114" s="43"/>
      <c r="CE114" s="43"/>
    </row>
    <row r="115" spans="1:83" ht="14.25" customHeight="1" x14ac:dyDescent="0.25">
      <c r="A115" s="14"/>
      <c r="B115" s="14"/>
      <c r="C115" s="29"/>
      <c r="D115" s="14"/>
      <c r="E115" s="14"/>
      <c r="F115" s="29"/>
      <c r="G115" s="29"/>
      <c r="H115" s="43"/>
      <c r="I115" s="43"/>
      <c r="J115" s="43"/>
      <c r="K115" s="43"/>
      <c r="L115" s="43"/>
      <c r="M115" s="44"/>
      <c r="N115" s="44"/>
      <c r="O115" s="44"/>
      <c r="P115" s="44"/>
      <c r="Q115" s="44"/>
      <c r="R115" s="44"/>
      <c r="S115" s="44"/>
      <c r="T115" s="45"/>
      <c r="U115" s="45"/>
      <c r="V115" s="45"/>
      <c r="W115" s="45"/>
      <c r="X115" s="45"/>
      <c r="Y115" s="45"/>
      <c r="Z115" s="45"/>
      <c r="AA115" s="45"/>
      <c r="AB115" s="44"/>
      <c r="AC115" s="44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  <c r="BJ115" s="43"/>
      <c r="BK115" s="43"/>
      <c r="BL115" s="43"/>
      <c r="BM115" s="43"/>
      <c r="BN115" s="43"/>
      <c r="BO115" s="43"/>
      <c r="BP115" s="43"/>
      <c r="BQ115" s="43"/>
      <c r="BR115" s="43"/>
      <c r="BS115" s="43"/>
      <c r="BT115" s="43"/>
      <c r="BU115" s="43"/>
      <c r="BV115" s="43"/>
      <c r="BW115" s="43"/>
      <c r="BX115" s="43"/>
      <c r="BY115" s="43"/>
      <c r="BZ115" s="43"/>
      <c r="CA115" s="43"/>
      <c r="CB115" s="43"/>
      <c r="CC115" s="43"/>
      <c r="CD115" s="43"/>
      <c r="CE115" s="43"/>
    </row>
    <row r="116" spans="1:83" ht="14.25" customHeight="1" x14ac:dyDescent="0.25">
      <c r="A116" s="14"/>
      <c r="B116" s="14"/>
      <c r="C116" s="29"/>
      <c r="D116" s="29"/>
      <c r="E116" s="29"/>
      <c r="F116" s="29"/>
      <c r="G116" s="29"/>
      <c r="H116" s="43"/>
      <c r="I116" s="43"/>
      <c r="J116" s="43"/>
      <c r="K116" s="43"/>
      <c r="L116" s="43"/>
      <c r="M116" s="44"/>
      <c r="N116" s="44"/>
      <c r="O116" s="44"/>
      <c r="P116" s="44"/>
      <c r="Q116" s="44"/>
      <c r="R116" s="44"/>
      <c r="S116" s="44"/>
      <c r="T116" s="45"/>
      <c r="U116" s="45"/>
      <c r="V116" s="45"/>
      <c r="W116" s="45"/>
      <c r="X116" s="45"/>
      <c r="Y116" s="45"/>
      <c r="Z116" s="45"/>
      <c r="AA116" s="45"/>
      <c r="AB116" s="44"/>
      <c r="AC116" s="44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  <c r="BJ116" s="43"/>
      <c r="BK116" s="43"/>
      <c r="BL116" s="43"/>
      <c r="BM116" s="43"/>
      <c r="BN116" s="43"/>
      <c r="BO116" s="43"/>
      <c r="BP116" s="43"/>
      <c r="BQ116" s="43"/>
      <c r="BR116" s="43"/>
      <c r="BS116" s="43"/>
      <c r="BT116" s="43"/>
      <c r="BU116" s="43"/>
      <c r="BV116" s="43"/>
      <c r="BW116" s="43"/>
      <c r="BX116" s="43"/>
      <c r="BY116" s="43"/>
      <c r="BZ116" s="43"/>
      <c r="CA116" s="43"/>
      <c r="CB116" s="43"/>
      <c r="CC116" s="43"/>
      <c r="CD116" s="43"/>
      <c r="CE116" s="43"/>
    </row>
    <row r="117" spans="1:83" ht="14.25" customHeight="1" x14ac:dyDescent="0.25">
      <c r="A117" s="14"/>
      <c r="B117" s="14"/>
      <c r="C117" s="29"/>
      <c r="D117" s="14"/>
      <c r="E117" s="14"/>
      <c r="F117" s="29"/>
      <c r="G117" s="29"/>
      <c r="H117" s="43"/>
      <c r="I117" s="43"/>
      <c r="J117" s="43"/>
      <c r="K117" s="43"/>
      <c r="L117" s="43"/>
      <c r="M117" s="44"/>
      <c r="N117" s="44"/>
      <c r="O117" s="44"/>
      <c r="P117" s="44"/>
      <c r="Q117" s="44"/>
      <c r="R117" s="44"/>
      <c r="S117" s="44"/>
      <c r="T117" s="45"/>
      <c r="U117" s="45"/>
      <c r="V117" s="45"/>
      <c r="W117" s="45"/>
      <c r="X117" s="45"/>
      <c r="Y117" s="45"/>
      <c r="Z117" s="45"/>
      <c r="AA117" s="45"/>
      <c r="AB117" s="44"/>
      <c r="AC117" s="44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  <c r="BJ117" s="43"/>
      <c r="BK117" s="43"/>
      <c r="BL117" s="43"/>
      <c r="BM117" s="43"/>
      <c r="BN117" s="43"/>
      <c r="BO117" s="43"/>
      <c r="BP117" s="43"/>
      <c r="BQ117" s="43"/>
      <c r="BR117" s="43"/>
      <c r="BS117" s="43"/>
      <c r="BT117" s="43"/>
      <c r="BU117" s="43"/>
      <c r="BV117" s="43"/>
      <c r="BW117" s="43"/>
      <c r="BX117" s="43"/>
      <c r="BY117" s="43"/>
      <c r="BZ117" s="43"/>
      <c r="CA117" s="43"/>
      <c r="CB117" s="43"/>
      <c r="CC117" s="43"/>
      <c r="CD117" s="43"/>
      <c r="CE117" s="43"/>
    </row>
    <row r="118" spans="1:83" ht="14.25" customHeight="1" x14ac:dyDescent="0.25">
      <c r="A118" s="14"/>
      <c r="B118" s="14"/>
      <c r="C118" s="29"/>
      <c r="D118" s="14"/>
      <c r="E118" s="14"/>
      <c r="F118" s="29"/>
      <c r="G118" s="29"/>
      <c r="H118" s="43"/>
      <c r="I118" s="43"/>
      <c r="J118" s="43"/>
      <c r="K118" s="43"/>
      <c r="L118" s="43"/>
      <c r="M118" s="44"/>
      <c r="N118" s="44"/>
      <c r="O118" s="44"/>
      <c r="P118" s="44"/>
      <c r="Q118" s="44"/>
      <c r="R118" s="44"/>
      <c r="S118" s="44"/>
      <c r="T118" s="45"/>
      <c r="U118" s="45"/>
      <c r="V118" s="45"/>
      <c r="W118" s="45"/>
      <c r="X118" s="45"/>
      <c r="Y118" s="45"/>
      <c r="Z118" s="45"/>
      <c r="AA118" s="45"/>
      <c r="AB118" s="44"/>
      <c r="AC118" s="44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  <c r="BJ118" s="43"/>
      <c r="BK118" s="43"/>
      <c r="BL118" s="43"/>
      <c r="BM118" s="43"/>
      <c r="BN118" s="43"/>
      <c r="BO118" s="43"/>
      <c r="BP118" s="43"/>
      <c r="BQ118" s="43"/>
      <c r="BR118" s="43"/>
      <c r="BS118" s="43"/>
      <c r="BT118" s="43"/>
      <c r="BU118" s="43"/>
      <c r="BV118" s="43"/>
      <c r="BW118" s="43"/>
      <c r="BX118" s="43"/>
      <c r="BY118" s="43"/>
      <c r="BZ118" s="43"/>
      <c r="CA118" s="43"/>
      <c r="CB118" s="43"/>
      <c r="CC118" s="43"/>
      <c r="CD118" s="43"/>
      <c r="CE118" s="43"/>
    </row>
    <row r="119" spans="1:83" ht="14.25" customHeight="1" x14ac:dyDescent="0.25">
      <c r="A119" s="14"/>
      <c r="B119" s="14"/>
      <c r="C119" s="29"/>
      <c r="D119" s="29"/>
      <c r="E119" s="29"/>
      <c r="F119" s="29"/>
      <c r="G119" s="29"/>
      <c r="H119" s="43"/>
      <c r="I119" s="43"/>
      <c r="J119" s="43"/>
      <c r="K119" s="43"/>
      <c r="L119" s="43"/>
      <c r="M119" s="44"/>
      <c r="N119" s="44"/>
      <c r="O119" s="44"/>
      <c r="P119" s="44"/>
      <c r="Q119" s="44"/>
      <c r="R119" s="44"/>
      <c r="S119" s="44"/>
      <c r="T119" s="45"/>
      <c r="U119" s="45"/>
      <c r="V119" s="45"/>
      <c r="W119" s="45"/>
      <c r="X119" s="45"/>
      <c r="Y119" s="45"/>
      <c r="Z119" s="45"/>
      <c r="AA119" s="45"/>
      <c r="AB119" s="44"/>
      <c r="AC119" s="44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  <c r="BJ119" s="43"/>
      <c r="BK119" s="43"/>
      <c r="BL119" s="43"/>
      <c r="BM119" s="43"/>
      <c r="BN119" s="43"/>
      <c r="BO119" s="43"/>
      <c r="BP119" s="43"/>
      <c r="BQ119" s="43"/>
      <c r="BR119" s="43"/>
      <c r="BS119" s="43"/>
      <c r="BT119" s="43"/>
      <c r="BU119" s="43"/>
      <c r="BV119" s="43"/>
      <c r="BW119" s="43"/>
      <c r="BX119" s="43"/>
      <c r="BY119" s="43"/>
      <c r="BZ119" s="43"/>
      <c r="CA119" s="43"/>
      <c r="CB119" s="43"/>
      <c r="CC119" s="43"/>
      <c r="CD119" s="43"/>
      <c r="CE119" s="43"/>
    </row>
    <row r="120" spans="1:83" ht="14.25" customHeight="1" x14ac:dyDescent="0.25">
      <c r="A120" s="14"/>
      <c r="B120" s="14"/>
      <c r="C120" s="29"/>
      <c r="D120" s="46"/>
      <c r="E120" s="14"/>
      <c r="F120" s="29"/>
      <c r="G120" s="29"/>
      <c r="H120" s="43"/>
      <c r="I120" s="43"/>
      <c r="J120" s="43"/>
      <c r="K120" s="43"/>
      <c r="L120" s="43"/>
      <c r="M120" s="44"/>
      <c r="N120" s="44"/>
      <c r="O120" s="44"/>
      <c r="P120" s="44"/>
      <c r="Q120" s="44"/>
      <c r="R120" s="44"/>
      <c r="S120" s="44"/>
      <c r="T120" s="45"/>
      <c r="U120" s="45"/>
      <c r="V120" s="45"/>
      <c r="W120" s="45"/>
      <c r="X120" s="45"/>
      <c r="Y120" s="45"/>
      <c r="Z120" s="45"/>
      <c r="AA120" s="45"/>
      <c r="AB120" s="44"/>
      <c r="AC120" s="44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  <c r="BJ120" s="43"/>
      <c r="BK120" s="43"/>
      <c r="BL120" s="43"/>
      <c r="BM120" s="43"/>
      <c r="BN120" s="43"/>
      <c r="BO120" s="43"/>
      <c r="BP120" s="43"/>
      <c r="BQ120" s="43"/>
      <c r="BR120" s="43"/>
      <c r="BS120" s="43"/>
      <c r="BT120" s="43"/>
      <c r="BU120" s="43"/>
      <c r="BV120" s="43"/>
      <c r="BW120" s="43"/>
      <c r="BX120" s="43"/>
      <c r="BY120" s="43"/>
      <c r="BZ120" s="43"/>
      <c r="CA120" s="43"/>
      <c r="CB120" s="43"/>
      <c r="CC120" s="43"/>
      <c r="CD120" s="43"/>
      <c r="CE120" s="43"/>
    </row>
    <row r="121" spans="1:83" ht="14.25" customHeight="1" x14ac:dyDescent="0.25">
      <c r="A121" s="14"/>
      <c r="B121" s="14"/>
      <c r="C121" s="29"/>
      <c r="D121" s="46"/>
      <c r="E121" s="14"/>
      <c r="F121" s="29"/>
      <c r="G121" s="29"/>
      <c r="H121" s="43"/>
      <c r="I121" s="43"/>
      <c r="J121" s="43"/>
      <c r="K121" s="43"/>
      <c r="L121" s="43"/>
      <c r="M121" s="44"/>
      <c r="N121" s="44"/>
      <c r="O121" s="44"/>
      <c r="P121" s="44"/>
      <c r="Q121" s="44"/>
      <c r="R121" s="44"/>
      <c r="S121" s="44"/>
      <c r="T121" s="45"/>
      <c r="U121" s="45"/>
      <c r="V121" s="45"/>
      <c r="W121" s="45"/>
      <c r="X121" s="45"/>
      <c r="Y121" s="45"/>
      <c r="Z121" s="45"/>
      <c r="AA121" s="45"/>
      <c r="AB121" s="44"/>
      <c r="AC121" s="44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/>
      <c r="BR121" s="43"/>
      <c r="BS121" s="43"/>
      <c r="BT121" s="43"/>
      <c r="BU121" s="43"/>
      <c r="BV121" s="43"/>
      <c r="BW121" s="43"/>
      <c r="BX121" s="43"/>
      <c r="BY121" s="43"/>
      <c r="BZ121" s="43"/>
      <c r="CA121" s="43"/>
      <c r="CB121" s="43"/>
      <c r="CC121" s="43"/>
      <c r="CD121" s="43"/>
      <c r="CE121" s="43"/>
    </row>
    <row r="122" spans="1:83" ht="14.25" customHeight="1" x14ac:dyDescent="0.25">
      <c r="A122" s="14"/>
      <c r="B122" s="14"/>
      <c r="C122" s="29"/>
      <c r="D122" s="29"/>
      <c r="E122" s="29"/>
      <c r="F122" s="29"/>
      <c r="G122" s="29"/>
      <c r="H122" s="43"/>
      <c r="I122" s="43"/>
      <c r="J122" s="43"/>
      <c r="K122" s="43"/>
      <c r="L122" s="43"/>
      <c r="M122" s="44"/>
      <c r="N122" s="44"/>
      <c r="O122" s="44"/>
      <c r="P122" s="44"/>
      <c r="Q122" s="44"/>
      <c r="R122" s="44"/>
      <c r="S122" s="44"/>
      <c r="T122" s="45"/>
      <c r="U122" s="45"/>
      <c r="V122" s="45"/>
      <c r="W122" s="45"/>
      <c r="X122" s="45"/>
      <c r="Y122" s="45"/>
      <c r="Z122" s="45"/>
      <c r="AA122" s="45"/>
      <c r="AB122" s="44"/>
      <c r="AC122" s="44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  <c r="BJ122" s="43"/>
      <c r="BK122" s="43"/>
      <c r="BL122" s="43"/>
      <c r="BM122" s="43"/>
      <c r="BN122" s="43"/>
      <c r="BO122" s="43"/>
      <c r="BP122" s="43"/>
      <c r="BQ122" s="43"/>
      <c r="BR122" s="43"/>
      <c r="BS122" s="43"/>
      <c r="BT122" s="43"/>
      <c r="BU122" s="43"/>
      <c r="BV122" s="43"/>
      <c r="BW122" s="43"/>
      <c r="BX122" s="43"/>
      <c r="BY122" s="43"/>
      <c r="BZ122" s="43"/>
      <c r="CA122" s="43"/>
      <c r="CB122" s="43"/>
      <c r="CC122" s="43"/>
      <c r="CD122" s="43"/>
      <c r="CE122" s="43"/>
    </row>
    <row r="123" spans="1:83" ht="14.25" customHeight="1" x14ac:dyDescent="0.25">
      <c r="A123" s="14"/>
      <c r="B123" s="14"/>
      <c r="C123" s="29"/>
      <c r="D123" s="46"/>
      <c r="E123" s="14"/>
      <c r="F123" s="29"/>
      <c r="G123" s="29"/>
      <c r="H123" s="43"/>
      <c r="I123" s="43"/>
      <c r="J123" s="43"/>
      <c r="K123" s="43"/>
      <c r="L123" s="43"/>
      <c r="M123" s="44"/>
      <c r="N123" s="44"/>
      <c r="O123" s="44"/>
      <c r="P123" s="44"/>
      <c r="Q123" s="44"/>
      <c r="R123" s="44"/>
      <c r="S123" s="44"/>
      <c r="T123" s="45"/>
      <c r="U123" s="45"/>
      <c r="V123" s="45"/>
      <c r="W123" s="45"/>
      <c r="X123" s="45"/>
      <c r="Y123" s="45"/>
      <c r="Z123" s="45"/>
      <c r="AA123" s="45"/>
      <c r="AB123" s="44"/>
      <c r="AC123" s="44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  <c r="BJ123" s="43"/>
      <c r="BK123" s="43"/>
      <c r="BL123" s="43"/>
      <c r="BM123" s="43"/>
      <c r="BN123" s="43"/>
      <c r="BO123" s="43"/>
      <c r="BP123" s="43"/>
      <c r="BQ123" s="43"/>
      <c r="BR123" s="43"/>
      <c r="BS123" s="43"/>
      <c r="BT123" s="43"/>
      <c r="BU123" s="43"/>
      <c r="BV123" s="43"/>
      <c r="BW123" s="43"/>
      <c r="BX123" s="43"/>
      <c r="BY123" s="43"/>
      <c r="BZ123" s="43"/>
      <c r="CA123" s="43"/>
      <c r="CB123" s="43"/>
      <c r="CC123" s="43"/>
      <c r="CD123" s="43"/>
      <c r="CE123" s="43"/>
    </row>
    <row r="124" spans="1:83" ht="14.25" customHeight="1" x14ac:dyDescent="0.25">
      <c r="A124" s="14"/>
      <c r="B124" s="14"/>
      <c r="C124" s="29"/>
      <c r="D124" s="46"/>
      <c r="E124" s="14"/>
      <c r="F124" s="29"/>
      <c r="G124" s="29"/>
      <c r="H124" s="43"/>
      <c r="I124" s="43"/>
      <c r="J124" s="43"/>
      <c r="K124" s="43"/>
      <c r="L124" s="43"/>
      <c r="M124" s="44"/>
      <c r="N124" s="44"/>
      <c r="O124" s="44"/>
      <c r="P124" s="44"/>
      <c r="Q124" s="44"/>
      <c r="R124" s="44"/>
      <c r="S124" s="44"/>
      <c r="T124" s="45"/>
      <c r="U124" s="45"/>
      <c r="V124" s="45"/>
      <c r="W124" s="45"/>
      <c r="X124" s="45"/>
      <c r="Y124" s="45"/>
      <c r="Z124" s="45"/>
      <c r="AA124" s="45"/>
      <c r="AB124" s="44"/>
      <c r="AC124" s="44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  <c r="BJ124" s="43"/>
      <c r="BK124" s="43"/>
      <c r="BL124" s="43"/>
      <c r="BM124" s="43"/>
      <c r="BN124" s="43"/>
      <c r="BO124" s="43"/>
      <c r="BP124" s="43"/>
      <c r="BQ124" s="43"/>
      <c r="BR124" s="43"/>
      <c r="BS124" s="43"/>
      <c r="BT124" s="43"/>
      <c r="BU124" s="43"/>
      <c r="BV124" s="43"/>
      <c r="BW124" s="43"/>
      <c r="BX124" s="43"/>
      <c r="BY124" s="43"/>
      <c r="BZ124" s="43"/>
      <c r="CA124" s="43"/>
      <c r="CB124" s="43"/>
      <c r="CC124" s="43"/>
      <c r="CD124" s="43"/>
      <c r="CE124" s="43"/>
    </row>
    <row r="125" spans="1:83" ht="14.25" customHeight="1" x14ac:dyDescent="0.25">
      <c r="A125" s="14"/>
      <c r="B125" s="14"/>
      <c r="C125" s="29"/>
      <c r="D125" s="29"/>
      <c r="E125" s="29"/>
      <c r="F125" s="29"/>
      <c r="G125" s="29"/>
      <c r="H125" s="43"/>
      <c r="I125" s="43"/>
      <c r="J125" s="43"/>
      <c r="K125" s="43"/>
      <c r="L125" s="43"/>
      <c r="M125" s="44"/>
      <c r="N125" s="44"/>
      <c r="O125" s="44"/>
      <c r="P125" s="44"/>
      <c r="Q125" s="44"/>
      <c r="R125" s="44"/>
      <c r="S125" s="44"/>
      <c r="T125" s="45"/>
      <c r="U125" s="45"/>
      <c r="V125" s="45"/>
      <c r="W125" s="45"/>
      <c r="X125" s="45"/>
      <c r="Y125" s="45"/>
      <c r="Z125" s="45"/>
      <c r="AA125" s="45"/>
      <c r="AB125" s="44"/>
      <c r="AC125" s="44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  <c r="BJ125" s="43"/>
      <c r="BK125" s="43"/>
      <c r="BL125" s="43"/>
      <c r="BM125" s="43"/>
      <c r="BN125" s="43"/>
      <c r="BO125" s="43"/>
      <c r="BP125" s="43"/>
      <c r="BQ125" s="43"/>
      <c r="BR125" s="43"/>
      <c r="BS125" s="43"/>
      <c r="BT125" s="43"/>
      <c r="BU125" s="43"/>
      <c r="BV125" s="43"/>
      <c r="BW125" s="43"/>
      <c r="BX125" s="43"/>
      <c r="BY125" s="43"/>
      <c r="BZ125" s="43"/>
      <c r="CA125" s="43"/>
      <c r="CB125" s="43"/>
      <c r="CC125" s="43"/>
      <c r="CD125" s="43"/>
      <c r="CE125" s="43"/>
    </row>
    <row r="126" spans="1:83" ht="14.25" customHeight="1" x14ac:dyDescent="0.25">
      <c r="A126" s="14"/>
      <c r="B126" s="14"/>
      <c r="C126" s="29"/>
      <c r="D126" s="14"/>
      <c r="E126" s="14"/>
      <c r="F126" s="29"/>
      <c r="G126" s="29"/>
      <c r="H126" s="43"/>
      <c r="I126" s="43"/>
      <c r="J126" s="43"/>
      <c r="K126" s="43"/>
      <c r="L126" s="43"/>
      <c r="M126" s="44"/>
      <c r="N126" s="44"/>
      <c r="O126" s="44"/>
      <c r="P126" s="44"/>
      <c r="Q126" s="44"/>
      <c r="R126" s="44"/>
      <c r="S126" s="44"/>
      <c r="T126" s="45"/>
      <c r="U126" s="45"/>
      <c r="V126" s="45"/>
      <c r="W126" s="45"/>
      <c r="X126" s="45"/>
      <c r="Y126" s="45"/>
      <c r="Z126" s="45"/>
      <c r="AA126" s="45"/>
      <c r="AB126" s="44"/>
      <c r="AC126" s="44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  <c r="BJ126" s="43"/>
      <c r="BK126" s="43"/>
      <c r="BL126" s="43"/>
      <c r="BM126" s="43"/>
      <c r="BN126" s="43"/>
      <c r="BO126" s="43"/>
      <c r="BP126" s="43"/>
      <c r="BQ126" s="43"/>
      <c r="BR126" s="43"/>
      <c r="BS126" s="43"/>
      <c r="BT126" s="43"/>
      <c r="BU126" s="43"/>
      <c r="BV126" s="43"/>
      <c r="BW126" s="43"/>
      <c r="BX126" s="43"/>
      <c r="BY126" s="43"/>
      <c r="BZ126" s="43"/>
      <c r="CA126" s="43"/>
      <c r="CB126" s="43"/>
      <c r="CC126" s="43"/>
      <c r="CD126" s="43"/>
      <c r="CE126" s="43"/>
    </row>
    <row r="127" spans="1:83" ht="14.25" customHeight="1" x14ac:dyDescent="0.25">
      <c r="A127" s="14"/>
      <c r="B127" s="14"/>
      <c r="C127" s="29"/>
      <c r="D127" s="14"/>
      <c r="E127" s="14"/>
      <c r="F127" s="29"/>
      <c r="G127" s="29"/>
      <c r="H127" s="43"/>
      <c r="I127" s="43"/>
      <c r="J127" s="43"/>
      <c r="K127" s="43"/>
      <c r="L127" s="43"/>
      <c r="M127" s="44"/>
      <c r="N127" s="44"/>
      <c r="O127" s="44"/>
      <c r="P127" s="44"/>
      <c r="Q127" s="44"/>
      <c r="R127" s="44"/>
      <c r="S127" s="44"/>
      <c r="T127" s="45"/>
      <c r="U127" s="45"/>
      <c r="V127" s="45"/>
      <c r="W127" s="45"/>
      <c r="X127" s="45"/>
      <c r="Y127" s="45"/>
      <c r="Z127" s="45"/>
      <c r="AA127" s="45"/>
      <c r="AB127" s="44"/>
      <c r="AC127" s="44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  <c r="BJ127" s="43"/>
      <c r="BK127" s="43"/>
      <c r="BL127" s="43"/>
      <c r="BM127" s="43"/>
      <c r="BN127" s="43"/>
      <c r="BO127" s="43"/>
      <c r="BP127" s="43"/>
      <c r="BQ127" s="43"/>
      <c r="BR127" s="43"/>
      <c r="BS127" s="43"/>
      <c r="BT127" s="43"/>
      <c r="BU127" s="43"/>
      <c r="BV127" s="43"/>
      <c r="BW127" s="43"/>
      <c r="BX127" s="43"/>
      <c r="BY127" s="43"/>
      <c r="BZ127" s="43"/>
      <c r="CA127" s="43"/>
      <c r="CB127" s="43"/>
      <c r="CC127" s="43"/>
      <c r="CD127" s="43"/>
      <c r="CE127" s="43"/>
    </row>
    <row r="128" spans="1:83" ht="14.25" customHeight="1" x14ac:dyDescent="0.25">
      <c r="A128" s="14"/>
      <c r="B128" s="14"/>
      <c r="C128" s="29"/>
      <c r="D128" s="14"/>
      <c r="E128" s="14"/>
      <c r="F128" s="29"/>
      <c r="G128" s="29"/>
      <c r="H128" s="43"/>
      <c r="I128" s="43"/>
      <c r="J128" s="43"/>
      <c r="K128" s="43"/>
      <c r="L128" s="43"/>
      <c r="M128" s="44"/>
      <c r="N128" s="44"/>
      <c r="O128" s="44"/>
      <c r="P128" s="44"/>
      <c r="Q128" s="44"/>
      <c r="R128" s="44"/>
      <c r="S128" s="44"/>
      <c r="T128" s="45"/>
      <c r="U128" s="45"/>
      <c r="V128" s="45"/>
      <c r="W128" s="45"/>
      <c r="X128" s="45"/>
      <c r="Y128" s="45"/>
      <c r="Z128" s="45"/>
      <c r="AA128" s="45"/>
      <c r="AB128" s="44"/>
      <c r="AC128" s="44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  <c r="BJ128" s="43"/>
      <c r="BK128" s="43"/>
      <c r="BL128" s="43"/>
      <c r="BM128" s="43"/>
      <c r="BN128" s="43"/>
      <c r="BO128" s="43"/>
      <c r="BP128" s="43"/>
      <c r="BQ128" s="43"/>
      <c r="BR128" s="43"/>
      <c r="BS128" s="43"/>
      <c r="BT128" s="43"/>
      <c r="BU128" s="43"/>
      <c r="BV128" s="43"/>
      <c r="BW128" s="43"/>
      <c r="BX128" s="43"/>
      <c r="BY128" s="43"/>
      <c r="BZ128" s="43"/>
      <c r="CA128" s="43"/>
      <c r="CB128" s="43"/>
      <c r="CC128" s="43"/>
      <c r="CD128" s="43"/>
      <c r="CE128" s="43"/>
    </row>
    <row r="129" spans="1:83" ht="14.25" customHeight="1" x14ac:dyDescent="0.25">
      <c r="A129" s="14"/>
      <c r="B129" s="14"/>
      <c r="C129" s="29"/>
      <c r="D129" s="29"/>
      <c r="E129" s="29"/>
      <c r="F129" s="29"/>
      <c r="G129" s="29"/>
      <c r="H129" s="43"/>
      <c r="I129" s="43"/>
      <c r="J129" s="43"/>
      <c r="K129" s="43"/>
      <c r="L129" s="43"/>
      <c r="M129" s="44"/>
      <c r="N129" s="44"/>
      <c r="O129" s="44"/>
      <c r="P129" s="44"/>
      <c r="Q129" s="44"/>
      <c r="R129" s="44"/>
      <c r="S129" s="44"/>
      <c r="T129" s="45"/>
      <c r="U129" s="45"/>
      <c r="V129" s="45"/>
      <c r="W129" s="45"/>
      <c r="X129" s="45"/>
      <c r="Y129" s="45"/>
      <c r="Z129" s="45"/>
      <c r="AA129" s="45"/>
      <c r="AB129" s="44"/>
      <c r="AC129" s="44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  <c r="BJ129" s="43"/>
      <c r="BK129" s="43"/>
      <c r="BL129" s="43"/>
      <c r="BM129" s="43"/>
      <c r="BN129" s="43"/>
      <c r="BO129" s="43"/>
      <c r="BP129" s="43"/>
      <c r="BQ129" s="43"/>
      <c r="BR129" s="43"/>
      <c r="BS129" s="43"/>
      <c r="BT129" s="43"/>
      <c r="BU129" s="43"/>
      <c r="BV129" s="43"/>
      <c r="BW129" s="43"/>
      <c r="BX129" s="43"/>
      <c r="BY129" s="43"/>
      <c r="BZ129" s="43"/>
      <c r="CA129" s="43"/>
      <c r="CB129" s="43"/>
      <c r="CC129" s="43"/>
      <c r="CD129" s="43"/>
      <c r="CE129" s="43"/>
    </row>
    <row r="130" spans="1:83" ht="14.25" customHeight="1" x14ac:dyDescent="0.25">
      <c r="A130" s="14"/>
      <c r="B130" s="14"/>
      <c r="C130" s="29"/>
      <c r="D130" s="14"/>
      <c r="E130" s="14"/>
      <c r="F130" s="29"/>
      <c r="G130" s="29"/>
      <c r="H130" s="43"/>
      <c r="I130" s="43"/>
      <c r="J130" s="43"/>
      <c r="K130" s="43"/>
      <c r="L130" s="43"/>
      <c r="M130" s="44"/>
      <c r="N130" s="44"/>
      <c r="O130" s="44"/>
      <c r="P130" s="44"/>
      <c r="Q130" s="44"/>
      <c r="R130" s="44"/>
      <c r="S130" s="44"/>
      <c r="T130" s="45"/>
      <c r="U130" s="45"/>
      <c r="V130" s="45"/>
      <c r="W130" s="45"/>
      <c r="X130" s="45"/>
      <c r="Y130" s="45"/>
      <c r="Z130" s="45"/>
      <c r="AA130" s="45"/>
      <c r="AB130" s="44"/>
      <c r="AC130" s="44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  <c r="BJ130" s="43"/>
      <c r="BK130" s="43"/>
      <c r="BL130" s="43"/>
      <c r="BM130" s="43"/>
      <c r="BN130" s="43"/>
      <c r="BO130" s="43"/>
      <c r="BP130" s="43"/>
      <c r="BQ130" s="43"/>
      <c r="BR130" s="43"/>
      <c r="BS130" s="43"/>
      <c r="BT130" s="43"/>
      <c r="BU130" s="43"/>
      <c r="BV130" s="43"/>
      <c r="BW130" s="43"/>
      <c r="BX130" s="43"/>
      <c r="BY130" s="43"/>
      <c r="BZ130" s="43"/>
      <c r="CA130" s="43"/>
      <c r="CB130" s="43"/>
      <c r="CC130" s="43"/>
      <c r="CD130" s="43"/>
      <c r="CE130" s="43"/>
    </row>
    <row r="131" spans="1:83" ht="14.25" customHeight="1" x14ac:dyDescent="0.25">
      <c r="A131" s="14"/>
      <c r="B131" s="14"/>
      <c r="C131" s="29"/>
      <c r="D131" s="14"/>
      <c r="E131" s="14"/>
      <c r="F131" s="29"/>
      <c r="G131" s="29"/>
      <c r="H131" s="43"/>
      <c r="I131" s="43"/>
      <c r="J131" s="43"/>
      <c r="K131" s="43"/>
      <c r="L131" s="43"/>
      <c r="M131" s="44"/>
      <c r="N131" s="44"/>
      <c r="O131" s="44"/>
      <c r="P131" s="44"/>
      <c r="Q131" s="44"/>
      <c r="R131" s="44"/>
      <c r="S131" s="44"/>
      <c r="T131" s="45"/>
      <c r="U131" s="45"/>
      <c r="V131" s="45"/>
      <c r="W131" s="45"/>
      <c r="X131" s="45"/>
      <c r="Y131" s="45"/>
      <c r="Z131" s="45"/>
      <c r="AA131" s="45"/>
      <c r="AB131" s="44"/>
      <c r="AC131" s="44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  <c r="BJ131" s="43"/>
      <c r="BK131" s="43"/>
      <c r="BL131" s="43"/>
      <c r="BM131" s="43"/>
      <c r="BN131" s="43"/>
      <c r="BO131" s="43"/>
      <c r="BP131" s="43"/>
      <c r="BQ131" s="43"/>
      <c r="BR131" s="43"/>
      <c r="BS131" s="43"/>
      <c r="BT131" s="43"/>
      <c r="BU131" s="43"/>
      <c r="BV131" s="43"/>
      <c r="BW131" s="43"/>
      <c r="BX131" s="43"/>
      <c r="BY131" s="43"/>
      <c r="BZ131" s="43"/>
      <c r="CA131" s="43"/>
      <c r="CB131" s="43"/>
      <c r="CC131" s="43"/>
      <c r="CD131" s="43"/>
      <c r="CE131" s="43"/>
    </row>
    <row r="132" spans="1:83" ht="14.25" customHeight="1" x14ac:dyDescent="0.25">
      <c r="A132" s="14"/>
      <c r="B132" s="14"/>
      <c r="C132" s="29"/>
      <c r="D132" s="14"/>
      <c r="E132" s="14"/>
      <c r="F132" s="29"/>
      <c r="G132" s="29"/>
      <c r="H132" s="43"/>
      <c r="I132" s="43"/>
      <c r="J132" s="43"/>
      <c r="K132" s="43"/>
      <c r="L132" s="43"/>
      <c r="M132" s="44"/>
      <c r="N132" s="44"/>
      <c r="O132" s="44"/>
      <c r="P132" s="44"/>
      <c r="Q132" s="44"/>
      <c r="R132" s="44"/>
      <c r="S132" s="44"/>
      <c r="T132" s="45"/>
      <c r="U132" s="45"/>
      <c r="V132" s="45"/>
      <c r="W132" s="45"/>
      <c r="X132" s="45"/>
      <c r="Y132" s="45"/>
      <c r="Z132" s="45"/>
      <c r="AA132" s="45"/>
      <c r="AB132" s="44"/>
      <c r="AC132" s="44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  <c r="BJ132" s="43"/>
      <c r="BK132" s="43"/>
      <c r="BL132" s="43"/>
      <c r="BM132" s="43"/>
      <c r="BN132" s="43"/>
      <c r="BO132" s="43"/>
      <c r="BP132" s="43"/>
      <c r="BQ132" s="43"/>
      <c r="BR132" s="43"/>
      <c r="BS132" s="43"/>
      <c r="BT132" s="43"/>
      <c r="BU132" s="43"/>
      <c r="BV132" s="43"/>
      <c r="BW132" s="43"/>
      <c r="BX132" s="43"/>
      <c r="BY132" s="43"/>
      <c r="BZ132" s="43"/>
      <c r="CA132" s="43"/>
      <c r="CB132" s="43"/>
      <c r="CC132" s="43"/>
      <c r="CD132" s="43"/>
      <c r="CE132" s="43"/>
    </row>
    <row r="133" spans="1:83" ht="14.25" customHeight="1" x14ac:dyDescent="0.25">
      <c r="A133" s="14"/>
      <c r="B133" s="14"/>
      <c r="C133" s="29"/>
      <c r="D133" s="29"/>
      <c r="E133" s="29"/>
      <c r="F133" s="29"/>
      <c r="G133" s="29"/>
      <c r="H133" s="43"/>
      <c r="I133" s="43"/>
      <c r="J133" s="43"/>
      <c r="K133" s="43"/>
      <c r="L133" s="43"/>
      <c r="M133" s="44"/>
      <c r="N133" s="44"/>
      <c r="O133" s="44"/>
      <c r="P133" s="44"/>
      <c r="Q133" s="44"/>
      <c r="R133" s="44"/>
      <c r="S133" s="44"/>
      <c r="T133" s="45"/>
      <c r="U133" s="45"/>
      <c r="V133" s="45"/>
      <c r="W133" s="45"/>
      <c r="X133" s="45"/>
      <c r="Y133" s="45"/>
      <c r="Z133" s="45"/>
      <c r="AA133" s="45"/>
      <c r="AB133" s="44"/>
      <c r="AC133" s="44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/>
      <c r="BR133" s="43"/>
      <c r="BS133" s="43"/>
      <c r="BT133" s="43"/>
      <c r="BU133" s="43"/>
      <c r="BV133" s="43"/>
      <c r="BW133" s="43"/>
      <c r="BX133" s="43"/>
      <c r="BY133" s="43"/>
      <c r="BZ133" s="43"/>
      <c r="CA133" s="43"/>
      <c r="CB133" s="43"/>
      <c r="CC133" s="43"/>
      <c r="CD133" s="43"/>
      <c r="CE133" s="43"/>
    </row>
    <row r="134" spans="1:83" ht="14.25" customHeight="1" x14ac:dyDescent="0.25">
      <c r="A134" s="14"/>
      <c r="B134" s="14"/>
      <c r="C134" s="29"/>
      <c r="D134" s="29"/>
      <c r="E134" s="14"/>
      <c r="F134" s="29"/>
      <c r="G134" s="29"/>
      <c r="H134" s="43"/>
      <c r="I134" s="43"/>
      <c r="J134" s="43"/>
      <c r="K134" s="43"/>
      <c r="L134" s="43"/>
      <c r="M134" s="44"/>
      <c r="N134" s="44"/>
      <c r="O134" s="44"/>
      <c r="P134" s="44"/>
      <c r="Q134" s="44"/>
      <c r="R134" s="44"/>
      <c r="S134" s="44"/>
      <c r="T134" s="45"/>
      <c r="U134" s="45"/>
      <c r="V134" s="45"/>
      <c r="W134" s="45"/>
      <c r="X134" s="45"/>
      <c r="Y134" s="45"/>
      <c r="Z134" s="45"/>
      <c r="AA134" s="45"/>
      <c r="AB134" s="44"/>
      <c r="AC134" s="44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  <c r="BJ134" s="43"/>
      <c r="BK134" s="43"/>
      <c r="BL134" s="43"/>
      <c r="BM134" s="43"/>
      <c r="BN134" s="43"/>
      <c r="BO134" s="43"/>
      <c r="BP134" s="43"/>
      <c r="BQ134" s="43"/>
      <c r="BR134" s="43"/>
      <c r="BS134" s="43"/>
      <c r="BT134" s="43"/>
      <c r="BU134" s="43"/>
      <c r="BV134" s="43"/>
      <c r="BW134" s="43"/>
      <c r="BX134" s="43"/>
      <c r="BY134" s="43"/>
      <c r="BZ134" s="43"/>
      <c r="CA134" s="43"/>
      <c r="CB134" s="43"/>
      <c r="CC134" s="43"/>
      <c r="CD134" s="43"/>
      <c r="CE134" s="43"/>
    </row>
    <row r="135" spans="1:83" ht="14.25" customHeight="1" x14ac:dyDescent="0.25">
      <c r="A135" s="14"/>
      <c r="B135" s="14"/>
      <c r="C135" s="29"/>
      <c r="D135" s="46"/>
      <c r="E135" s="14"/>
      <c r="F135" s="29"/>
      <c r="G135" s="29"/>
      <c r="H135" s="43"/>
      <c r="I135" s="43"/>
      <c r="J135" s="43"/>
      <c r="K135" s="43"/>
      <c r="L135" s="43"/>
      <c r="M135" s="44"/>
      <c r="N135" s="44"/>
      <c r="O135" s="44"/>
      <c r="P135" s="44"/>
      <c r="Q135" s="44"/>
      <c r="R135" s="44"/>
      <c r="S135" s="44"/>
      <c r="T135" s="45"/>
      <c r="U135" s="45"/>
      <c r="V135" s="45"/>
      <c r="W135" s="45"/>
      <c r="X135" s="45"/>
      <c r="Y135" s="45"/>
      <c r="Z135" s="45"/>
      <c r="AA135" s="45"/>
      <c r="AB135" s="44"/>
      <c r="AC135" s="44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  <c r="BJ135" s="43"/>
      <c r="BK135" s="43"/>
      <c r="BL135" s="43"/>
      <c r="BM135" s="43"/>
      <c r="BN135" s="43"/>
      <c r="BO135" s="43"/>
      <c r="BP135" s="43"/>
      <c r="BQ135" s="43"/>
      <c r="BR135" s="43"/>
      <c r="BS135" s="43"/>
      <c r="BT135" s="43"/>
      <c r="BU135" s="43"/>
      <c r="BV135" s="43"/>
      <c r="BW135" s="43"/>
      <c r="BX135" s="43"/>
      <c r="BY135" s="43"/>
      <c r="BZ135" s="43"/>
      <c r="CA135" s="43"/>
      <c r="CB135" s="43"/>
      <c r="CC135" s="43"/>
      <c r="CD135" s="43"/>
      <c r="CE135" s="43"/>
    </row>
    <row r="136" spans="1:83" ht="14.25" customHeight="1" x14ac:dyDescent="0.25">
      <c r="A136" s="14"/>
      <c r="B136" s="14"/>
      <c r="C136" s="29"/>
      <c r="D136" s="29"/>
      <c r="E136" s="29"/>
      <c r="F136" s="29"/>
      <c r="G136" s="29"/>
      <c r="H136" s="43"/>
      <c r="I136" s="43"/>
      <c r="J136" s="43"/>
      <c r="K136" s="43"/>
      <c r="L136" s="43"/>
      <c r="M136" s="44"/>
      <c r="N136" s="44"/>
      <c r="O136" s="44"/>
      <c r="P136" s="44"/>
      <c r="Q136" s="44"/>
      <c r="R136" s="44"/>
      <c r="S136" s="44"/>
      <c r="T136" s="45"/>
      <c r="U136" s="45"/>
      <c r="V136" s="45"/>
      <c r="W136" s="45"/>
      <c r="X136" s="45"/>
      <c r="Y136" s="45"/>
      <c r="Z136" s="45"/>
      <c r="AA136" s="45"/>
      <c r="AB136" s="44"/>
      <c r="AC136" s="44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  <c r="AO136" s="43"/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  <c r="BJ136" s="43"/>
      <c r="BK136" s="43"/>
      <c r="BL136" s="43"/>
      <c r="BM136" s="43"/>
      <c r="BN136" s="43"/>
      <c r="BO136" s="43"/>
      <c r="BP136" s="43"/>
      <c r="BQ136" s="43"/>
      <c r="BR136" s="43"/>
      <c r="BS136" s="43"/>
      <c r="BT136" s="43"/>
      <c r="BU136" s="43"/>
      <c r="BV136" s="43"/>
      <c r="BW136" s="43"/>
      <c r="BX136" s="43"/>
      <c r="BY136" s="43"/>
      <c r="BZ136" s="43"/>
      <c r="CA136" s="43"/>
      <c r="CB136" s="43"/>
      <c r="CC136" s="43"/>
      <c r="CD136" s="43"/>
      <c r="CE136" s="43"/>
    </row>
    <row r="137" spans="1:83" ht="14.25" customHeight="1" x14ac:dyDescent="0.25">
      <c r="A137" s="14"/>
      <c r="B137" s="14"/>
      <c r="C137" s="29"/>
      <c r="D137" s="46"/>
      <c r="E137" s="14"/>
      <c r="F137" s="29"/>
      <c r="G137" s="29"/>
      <c r="H137" s="43"/>
      <c r="I137" s="43"/>
      <c r="J137" s="43"/>
      <c r="K137" s="43"/>
      <c r="L137" s="43"/>
      <c r="M137" s="44"/>
      <c r="N137" s="44"/>
      <c r="O137" s="44"/>
      <c r="P137" s="44"/>
      <c r="Q137" s="44"/>
      <c r="R137" s="44"/>
      <c r="S137" s="44"/>
      <c r="T137" s="45"/>
      <c r="U137" s="45"/>
      <c r="V137" s="45"/>
      <c r="W137" s="45"/>
      <c r="X137" s="45"/>
      <c r="Y137" s="45"/>
      <c r="Z137" s="45"/>
      <c r="AA137" s="45"/>
      <c r="AB137" s="44"/>
      <c r="AC137" s="44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  <c r="AO137" s="43"/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  <c r="BJ137" s="43"/>
      <c r="BK137" s="43"/>
      <c r="BL137" s="43"/>
      <c r="BM137" s="43"/>
      <c r="BN137" s="43"/>
      <c r="BO137" s="43"/>
      <c r="BP137" s="43"/>
      <c r="BQ137" s="43"/>
      <c r="BR137" s="43"/>
      <c r="BS137" s="43"/>
      <c r="BT137" s="43"/>
      <c r="BU137" s="43"/>
      <c r="BV137" s="43"/>
      <c r="BW137" s="43"/>
      <c r="BX137" s="43"/>
      <c r="BY137" s="43"/>
      <c r="BZ137" s="43"/>
      <c r="CA137" s="43"/>
      <c r="CB137" s="43"/>
      <c r="CC137" s="43"/>
      <c r="CD137" s="43"/>
      <c r="CE137" s="43"/>
    </row>
    <row r="138" spans="1:83" ht="14.25" customHeight="1" x14ac:dyDescent="0.25">
      <c r="A138" s="14"/>
      <c r="B138" s="14"/>
      <c r="C138" s="29"/>
      <c r="D138" s="46"/>
      <c r="E138" s="14"/>
      <c r="F138" s="29"/>
      <c r="G138" s="29"/>
      <c r="H138" s="43"/>
      <c r="I138" s="43"/>
      <c r="J138" s="43"/>
      <c r="K138" s="43"/>
      <c r="L138" s="43"/>
      <c r="M138" s="44"/>
      <c r="N138" s="44"/>
      <c r="O138" s="44"/>
      <c r="P138" s="44"/>
      <c r="Q138" s="44"/>
      <c r="R138" s="44"/>
      <c r="S138" s="44"/>
      <c r="T138" s="45"/>
      <c r="U138" s="45"/>
      <c r="V138" s="45"/>
      <c r="W138" s="45"/>
      <c r="X138" s="45"/>
      <c r="Y138" s="45"/>
      <c r="Z138" s="45"/>
      <c r="AA138" s="45"/>
      <c r="AB138" s="44"/>
      <c r="AC138" s="44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  <c r="BJ138" s="43"/>
      <c r="BK138" s="43"/>
      <c r="BL138" s="43"/>
      <c r="BM138" s="43"/>
      <c r="BN138" s="43"/>
      <c r="BO138" s="43"/>
      <c r="BP138" s="43"/>
      <c r="BQ138" s="43"/>
      <c r="BR138" s="43"/>
      <c r="BS138" s="43"/>
      <c r="BT138" s="43"/>
      <c r="BU138" s="43"/>
      <c r="BV138" s="43"/>
      <c r="BW138" s="43"/>
      <c r="BX138" s="43"/>
      <c r="BY138" s="43"/>
      <c r="BZ138" s="43"/>
      <c r="CA138" s="43"/>
      <c r="CB138" s="43"/>
      <c r="CC138" s="43"/>
      <c r="CD138" s="43"/>
      <c r="CE138" s="43"/>
    </row>
    <row r="139" spans="1:83" ht="14.25" customHeight="1" x14ac:dyDescent="0.25">
      <c r="A139" s="14"/>
      <c r="B139" s="14"/>
      <c r="C139" s="29"/>
      <c r="D139" s="29"/>
      <c r="E139" s="29"/>
      <c r="F139" s="29"/>
      <c r="G139" s="29"/>
      <c r="H139" s="43"/>
      <c r="I139" s="43"/>
      <c r="J139" s="43"/>
      <c r="K139" s="43"/>
      <c r="L139" s="43"/>
      <c r="M139" s="44"/>
      <c r="N139" s="44"/>
      <c r="O139" s="44"/>
      <c r="P139" s="44"/>
      <c r="Q139" s="44"/>
      <c r="R139" s="44"/>
      <c r="S139" s="44"/>
      <c r="T139" s="45"/>
      <c r="U139" s="45"/>
      <c r="V139" s="45"/>
      <c r="W139" s="45"/>
      <c r="X139" s="45"/>
      <c r="Y139" s="45"/>
      <c r="Z139" s="45"/>
      <c r="AA139" s="45"/>
      <c r="AB139" s="44"/>
      <c r="AC139" s="44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  <c r="BJ139" s="43"/>
      <c r="BK139" s="43"/>
      <c r="BL139" s="43"/>
      <c r="BM139" s="43"/>
      <c r="BN139" s="43"/>
      <c r="BO139" s="43"/>
      <c r="BP139" s="43"/>
      <c r="BQ139" s="43"/>
      <c r="BR139" s="43"/>
      <c r="BS139" s="43"/>
      <c r="BT139" s="43"/>
      <c r="BU139" s="43"/>
      <c r="BV139" s="43"/>
      <c r="BW139" s="43"/>
      <c r="BX139" s="43"/>
      <c r="BY139" s="43"/>
      <c r="BZ139" s="43"/>
      <c r="CA139" s="43"/>
      <c r="CB139" s="43"/>
      <c r="CC139" s="43"/>
      <c r="CD139" s="43"/>
      <c r="CE139" s="43"/>
    </row>
    <row r="140" spans="1:83" ht="14.25" customHeight="1" x14ac:dyDescent="0.25">
      <c r="A140" s="14"/>
      <c r="B140" s="14"/>
      <c r="C140" s="29"/>
      <c r="D140" s="14"/>
      <c r="E140" s="14"/>
      <c r="F140" s="29"/>
      <c r="G140" s="29"/>
      <c r="H140" s="43"/>
      <c r="I140" s="43"/>
      <c r="J140" s="43"/>
      <c r="K140" s="43"/>
      <c r="L140" s="43"/>
      <c r="M140" s="44"/>
      <c r="N140" s="44"/>
      <c r="O140" s="44"/>
      <c r="P140" s="44"/>
      <c r="Q140" s="44"/>
      <c r="R140" s="44"/>
      <c r="S140" s="44"/>
      <c r="T140" s="45"/>
      <c r="U140" s="45"/>
      <c r="V140" s="45"/>
      <c r="W140" s="45"/>
      <c r="X140" s="45"/>
      <c r="Y140" s="45"/>
      <c r="Z140" s="45"/>
      <c r="AA140" s="45"/>
      <c r="AB140" s="44"/>
      <c r="AC140" s="44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  <c r="BJ140" s="43"/>
      <c r="BK140" s="43"/>
      <c r="BL140" s="43"/>
      <c r="BM140" s="43"/>
      <c r="BN140" s="43"/>
      <c r="BO140" s="43"/>
      <c r="BP140" s="43"/>
      <c r="BQ140" s="43"/>
      <c r="BR140" s="43"/>
      <c r="BS140" s="43"/>
      <c r="BT140" s="43"/>
      <c r="BU140" s="43"/>
      <c r="BV140" s="43"/>
      <c r="BW140" s="43"/>
      <c r="BX140" s="43"/>
      <c r="BY140" s="43"/>
      <c r="BZ140" s="43"/>
      <c r="CA140" s="43"/>
      <c r="CB140" s="43"/>
      <c r="CC140" s="43"/>
      <c r="CD140" s="43"/>
      <c r="CE140" s="43"/>
    </row>
    <row r="141" spans="1:83" ht="14.25" customHeight="1" x14ac:dyDescent="0.25">
      <c r="A141" s="14"/>
      <c r="B141" s="14"/>
      <c r="C141" s="29"/>
      <c r="D141" s="29"/>
      <c r="E141" s="29"/>
      <c r="F141" s="42"/>
      <c r="G141" s="42"/>
      <c r="H141" s="43"/>
      <c r="I141" s="43"/>
      <c r="J141" s="43"/>
      <c r="K141" s="43"/>
      <c r="L141" s="43"/>
      <c r="M141" s="44"/>
      <c r="N141" s="44"/>
      <c r="O141" s="44"/>
      <c r="P141" s="44"/>
      <c r="Q141" s="44"/>
      <c r="R141" s="44"/>
      <c r="S141" s="44"/>
      <c r="T141" s="45"/>
      <c r="U141" s="45"/>
      <c r="V141" s="45"/>
      <c r="W141" s="45"/>
      <c r="X141" s="45"/>
      <c r="Y141" s="45"/>
      <c r="Z141" s="45"/>
      <c r="AA141" s="45"/>
      <c r="AB141" s="44"/>
      <c r="AC141" s="44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  <c r="AO141" s="43"/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  <c r="BJ141" s="43"/>
      <c r="BK141" s="43"/>
      <c r="BL141" s="43"/>
      <c r="BM141" s="43"/>
      <c r="BN141" s="43"/>
      <c r="BO141" s="43"/>
      <c r="BP141" s="43"/>
      <c r="BQ141" s="43"/>
      <c r="BR141" s="43"/>
      <c r="BS141" s="43"/>
      <c r="BT141" s="43"/>
      <c r="BU141" s="43"/>
      <c r="BV141" s="43"/>
      <c r="BW141" s="43"/>
      <c r="BX141" s="43"/>
      <c r="BY141" s="43"/>
      <c r="BZ141" s="43"/>
      <c r="CA141" s="43"/>
      <c r="CB141" s="43"/>
      <c r="CC141" s="43"/>
      <c r="CD141" s="43"/>
      <c r="CE141" s="43"/>
    </row>
    <row r="142" spans="1:83" ht="14.25" customHeight="1" x14ac:dyDescent="0.25">
      <c r="A142" s="14"/>
      <c r="B142" s="14"/>
      <c r="C142" s="29"/>
      <c r="D142" s="29"/>
      <c r="E142" s="29"/>
      <c r="F142" s="29"/>
      <c r="G142" s="29"/>
      <c r="H142" s="43"/>
      <c r="I142" s="43"/>
      <c r="J142" s="43"/>
      <c r="K142" s="43"/>
      <c r="L142" s="43"/>
      <c r="M142" s="44"/>
      <c r="N142" s="44"/>
      <c r="O142" s="44"/>
      <c r="P142" s="44"/>
      <c r="Q142" s="44"/>
      <c r="R142" s="44"/>
      <c r="S142" s="44"/>
      <c r="T142" s="45"/>
      <c r="U142" s="45"/>
      <c r="V142" s="45"/>
      <c r="W142" s="45"/>
      <c r="X142" s="45"/>
      <c r="Y142" s="45"/>
      <c r="Z142" s="45"/>
      <c r="AA142" s="45"/>
      <c r="AB142" s="44"/>
      <c r="AC142" s="44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  <c r="AO142" s="43"/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  <c r="BJ142" s="43"/>
      <c r="BK142" s="43"/>
      <c r="BL142" s="43"/>
      <c r="BM142" s="43"/>
      <c r="BN142" s="43"/>
      <c r="BO142" s="43"/>
      <c r="BP142" s="43"/>
      <c r="BQ142" s="43"/>
      <c r="BR142" s="43"/>
      <c r="BS142" s="43"/>
      <c r="BT142" s="43"/>
      <c r="BU142" s="43"/>
      <c r="BV142" s="43"/>
      <c r="BW142" s="43"/>
      <c r="BX142" s="43"/>
      <c r="BY142" s="43"/>
      <c r="BZ142" s="43"/>
      <c r="CA142" s="43"/>
      <c r="CB142" s="43"/>
      <c r="CC142" s="43"/>
      <c r="CD142" s="43"/>
      <c r="CE142" s="43"/>
    </row>
    <row r="143" spans="1:83" ht="14.25" customHeight="1" x14ac:dyDescent="0.25">
      <c r="A143" s="14"/>
      <c r="B143" s="14"/>
      <c r="C143" s="29"/>
      <c r="D143" s="14"/>
      <c r="E143" s="14"/>
      <c r="F143" s="29"/>
      <c r="G143" s="29"/>
      <c r="H143" s="43"/>
      <c r="I143" s="43"/>
      <c r="J143" s="43"/>
      <c r="K143" s="43"/>
      <c r="L143" s="43"/>
      <c r="M143" s="44"/>
      <c r="N143" s="44"/>
      <c r="O143" s="44"/>
      <c r="P143" s="44"/>
      <c r="Q143" s="44"/>
      <c r="R143" s="44"/>
      <c r="S143" s="44"/>
      <c r="T143" s="45"/>
      <c r="U143" s="45"/>
      <c r="V143" s="45"/>
      <c r="W143" s="45"/>
      <c r="X143" s="45"/>
      <c r="Y143" s="45"/>
      <c r="Z143" s="45"/>
      <c r="AA143" s="45"/>
      <c r="AB143" s="44"/>
      <c r="AC143" s="44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  <c r="AO143" s="43"/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  <c r="BJ143" s="43"/>
      <c r="BK143" s="43"/>
      <c r="BL143" s="43"/>
      <c r="BM143" s="43"/>
      <c r="BN143" s="43"/>
      <c r="BO143" s="43"/>
      <c r="BP143" s="43"/>
      <c r="BQ143" s="43"/>
      <c r="BR143" s="43"/>
      <c r="BS143" s="43"/>
      <c r="BT143" s="43"/>
      <c r="BU143" s="43"/>
      <c r="BV143" s="43"/>
      <c r="BW143" s="43"/>
      <c r="BX143" s="43"/>
      <c r="BY143" s="43"/>
      <c r="BZ143" s="43"/>
      <c r="CA143" s="43"/>
      <c r="CB143" s="43"/>
      <c r="CC143" s="43"/>
      <c r="CD143" s="43"/>
      <c r="CE143" s="43"/>
    </row>
    <row r="144" spans="1:83" ht="14.25" customHeight="1" x14ac:dyDescent="0.25">
      <c r="A144" s="14"/>
      <c r="B144" s="14"/>
      <c r="C144" s="29"/>
      <c r="D144" s="14"/>
      <c r="E144" s="14"/>
      <c r="F144" s="29"/>
      <c r="G144" s="29"/>
      <c r="H144" s="43"/>
      <c r="I144" s="43"/>
      <c r="J144" s="43"/>
      <c r="K144" s="43"/>
      <c r="L144" s="43"/>
      <c r="M144" s="44"/>
      <c r="N144" s="44"/>
      <c r="O144" s="44"/>
      <c r="P144" s="44"/>
      <c r="Q144" s="44"/>
      <c r="R144" s="44"/>
      <c r="S144" s="44"/>
      <c r="T144" s="45"/>
      <c r="U144" s="45"/>
      <c r="V144" s="45"/>
      <c r="W144" s="45"/>
      <c r="X144" s="45"/>
      <c r="Y144" s="45"/>
      <c r="Z144" s="45"/>
      <c r="AA144" s="45"/>
      <c r="AB144" s="44"/>
      <c r="AC144" s="44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  <c r="AO144" s="43"/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  <c r="BJ144" s="43"/>
      <c r="BK144" s="43"/>
      <c r="BL144" s="43"/>
      <c r="BM144" s="43"/>
      <c r="BN144" s="43"/>
      <c r="BO144" s="43"/>
      <c r="BP144" s="43"/>
      <c r="BQ144" s="43"/>
      <c r="BR144" s="43"/>
      <c r="BS144" s="43"/>
      <c r="BT144" s="43"/>
      <c r="BU144" s="43"/>
      <c r="BV144" s="43"/>
      <c r="BW144" s="43"/>
      <c r="BX144" s="43"/>
      <c r="BY144" s="43"/>
      <c r="BZ144" s="43"/>
      <c r="CA144" s="43"/>
      <c r="CB144" s="43"/>
      <c r="CC144" s="43"/>
      <c r="CD144" s="43"/>
      <c r="CE144" s="43"/>
    </row>
    <row r="145" spans="1:83" ht="14.25" customHeight="1" x14ac:dyDescent="0.25">
      <c r="A145" s="14"/>
      <c r="B145" s="14"/>
      <c r="C145" s="29"/>
      <c r="D145" s="29"/>
      <c r="E145" s="29"/>
      <c r="F145" s="29"/>
      <c r="G145" s="29"/>
      <c r="H145" s="43"/>
      <c r="I145" s="43"/>
      <c r="J145" s="43"/>
      <c r="K145" s="43"/>
      <c r="L145" s="43"/>
      <c r="M145" s="44"/>
      <c r="N145" s="44"/>
      <c r="O145" s="44"/>
      <c r="P145" s="44"/>
      <c r="Q145" s="44"/>
      <c r="R145" s="44"/>
      <c r="S145" s="44"/>
      <c r="T145" s="45"/>
      <c r="U145" s="45"/>
      <c r="V145" s="45"/>
      <c r="W145" s="45"/>
      <c r="X145" s="45"/>
      <c r="Y145" s="45"/>
      <c r="Z145" s="45"/>
      <c r="AA145" s="45"/>
      <c r="AB145" s="44"/>
      <c r="AC145" s="44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  <c r="AO145" s="43"/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  <c r="BJ145" s="43"/>
      <c r="BK145" s="43"/>
      <c r="BL145" s="43"/>
      <c r="BM145" s="43"/>
      <c r="BN145" s="43"/>
      <c r="BO145" s="43"/>
      <c r="BP145" s="43"/>
      <c r="BQ145" s="43"/>
      <c r="BR145" s="43"/>
      <c r="BS145" s="43"/>
      <c r="BT145" s="43"/>
      <c r="BU145" s="43"/>
      <c r="BV145" s="43"/>
      <c r="BW145" s="43"/>
      <c r="BX145" s="43"/>
      <c r="BY145" s="43"/>
      <c r="BZ145" s="43"/>
      <c r="CA145" s="43"/>
      <c r="CB145" s="43"/>
      <c r="CC145" s="43"/>
      <c r="CD145" s="43"/>
      <c r="CE145" s="43"/>
    </row>
    <row r="146" spans="1:83" ht="14.25" customHeight="1" x14ac:dyDescent="0.25">
      <c r="A146" s="14"/>
      <c r="B146" s="14"/>
      <c r="C146" s="29"/>
      <c r="D146" s="14"/>
      <c r="E146" s="14"/>
      <c r="F146" s="29"/>
      <c r="G146" s="29"/>
      <c r="H146" s="43"/>
      <c r="I146" s="43"/>
      <c r="J146" s="43"/>
      <c r="K146" s="43"/>
      <c r="L146" s="43"/>
      <c r="M146" s="44"/>
      <c r="N146" s="44"/>
      <c r="O146" s="44"/>
      <c r="P146" s="44"/>
      <c r="Q146" s="44"/>
      <c r="R146" s="44"/>
      <c r="S146" s="44"/>
      <c r="T146" s="45"/>
      <c r="U146" s="45"/>
      <c r="V146" s="45"/>
      <c r="W146" s="45"/>
      <c r="X146" s="45"/>
      <c r="Y146" s="45"/>
      <c r="Z146" s="45"/>
      <c r="AA146" s="45"/>
      <c r="AB146" s="44"/>
      <c r="AC146" s="44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  <c r="AO146" s="43"/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  <c r="BJ146" s="43"/>
      <c r="BK146" s="43"/>
      <c r="BL146" s="43"/>
      <c r="BM146" s="43"/>
      <c r="BN146" s="43"/>
      <c r="BO146" s="43"/>
      <c r="BP146" s="43"/>
      <c r="BQ146" s="43"/>
      <c r="BR146" s="43"/>
      <c r="BS146" s="43"/>
      <c r="BT146" s="43"/>
      <c r="BU146" s="43"/>
      <c r="BV146" s="43"/>
      <c r="BW146" s="43"/>
      <c r="BX146" s="43"/>
      <c r="BY146" s="43"/>
      <c r="BZ146" s="43"/>
      <c r="CA146" s="43"/>
      <c r="CB146" s="43"/>
      <c r="CC146" s="43"/>
      <c r="CD146" s="43"/>
      <c r="CE146" s="43"/>
    </row>
    <row r="147" spans="1:83" ht="14.25" customHeight="1" x14ac:dyDescent="0.25">
      <c r="A147" s="14"/>
      <c r="B147" s="14"/>
      <c r="C147" s="29"/>
      <c r="D147" s="14"/>
      <c r="E147" s="14"/>
      <c r="F147" s="29"/>
      <c r="G147" s="29"/>
      <c r="H147" s="43"/>
      <c r="I147" s="43"/>
      <c r="J147" s="43"/>
      <c r="K147" s="43"/>
      <c r="L147" s="43"/>
      <c r="M147" s="44"/>
      <c r="N147" s="44"/>
      <c r="O147" s="44"/>
      <c r="P147" s="44"/>
      <c r="Q147" s="44"/>
      <c r="R147" s="44"/>
      <c r="S147" s="44"/>
      <c r="T147" s="45"/>
      <c r="U147" s="45"/>
      <c r="V147" s="45"/>
      <c r="W147" s="45"/>
      <c r="X147" s="45"/>
      <c r="Y147" s="45"/>
      <c r="Z147" s="45"/>
      <c r="AA147" s="45"/>
      <c r="AB147" s="44"/>
      <c r="AC147" s="44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  <c r="AO147" s="43"/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  <c r="BJ147" s="43"/>
      <c r="BK147" s="43"/>
      <c r="BL147" s="43"/>
      <c r="BM147" s="43"/>
      <c r="BN147" s="43"/>
      <c r="BO147" s="43"/>
      <c r="BP147" s="43"/>
      <c r="BQ147" s="43"/>
      <c r="BR147" s="43"/>
      <c r="BS147" s="43"/>
      <c r="BT147" s="43"/>
      <c r="BU147" s="43"/>
      <c r="BV147" s="43"/>
      <c r="BW147" s="43"/>
      <c r="BX147" s="43"/>
      <c r="BY147" s="43"/>
      <c r="BZ147" s="43"/>
      <c r="CA147" s="43"/>
      <c r="CB147" s="43"/>
      <c r="CC147" s="43"/>
      <c r="CD147" s="43"/>
      <c r="CE147" s="43"/>
    </row>
    <row r="148" spans="1:83" ht="14.25" customHeight="1" x14ac:dyDescent="0.25">
      <c r="A148" s="14"/>
      <c r="B148" s="14"/>
      <c r="C148" s="29"/>
      <c r="D148" s="29"/>
      <c r="E148" s="29"/>
      <c r="F148" s="29"/>
      <c r="G148" s="29"/>
      <c r="H148" s="43"/>
      <c r="I148" s="43"/>
      <c r="J148" s="43"/>
      <c r="K148" s="43"/>
      <c r="L148" s="43"/>
      <c r="M148" s="44"/>
      <c r="N148" s="44"/>
      <c r="O148" s="44"/>
      <c r="P148" s="44"/>
      <c r="Q148" s="44"/>
      <c r="R148" s="44"/>
      <c r="S148" s="44"/>
      <c r="T148" s="45"/>
      <c r="U148" s="45"/>
      <c r="V148" s="45"/>
      <c r="W148" s="45"/>
      <c r="X148" s="45"/>
      <c r="Y148" s="45"/>
      <c r="Z148" s="45"/>
      <c r="AA148" s="45"/>
      <c r="AB148" s="44"/>
      <c r="AC148" s="44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  <c r="AO148" s="43"/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  <c r="BJ148" s="43"/>
      <c r="BK148" s="43"/>
      <c r="BL148" s="43"/>
      <c r="BM148" s="43"/>
      <c r="BN148" s="43"/>
      <c r="BO148" s="43"/>
      <c r="BP148" s="43"/>
      <c r="BQ148" s="43"/>
      <c r="BR148" s="43"/>
      <c r="BS148" s="43"/>
      <c r="BT148" s="43"/>
      <c r="BU148" s="43"/>
      <c r="BV148" s="43"/>
      <c r="BW148" s="43"/>
      <c r="BX148" s="43"/>
      <c r="BY148" s="43"/>
      <c r="BZ148" s="43"/>
      <c r="CA148" s="43"/>
      <c r="CB148" s="43"/>
      <c r="CC148" s="43"/>
      <c r="CD148" s="43"/>
      <c r="CE148" s="43"/>
    </row>
    <row r="149" spans="1:83" ht="14.25" customHeight="1" x14ac:dyDescent="0.25">
      <c r="A149" s="14"/>
      <c r="B149" s="14"/>
      <c r="C149" s="29"/>
      <c r="D149" s="14"/>
      <c r="E149" s="14"/>
      <c r="F149" s="29"/>
      <c r="G149" s="29"/>
      <c r="H149" s="43"/>
      <c r="I149" s="43"/>
      <c r="J149" s="43"/>
      <c r="K149" s="43"/>
      <c r="L149" s="43"/>
      <c r="M149" s="44"/>
      <c r="N149" s="44"/>
      <c r="O149" s="44"/>
      <c r="P149" s="44"/>
      <c r="Q149" s="44"/>
      <c r="R149" s="44"/>
      <c r="S149" s="44"/>
      <c r="T149" s="45"/>
      <c r="U149" s="45"/>
      <c r="V149" s="45"/>
      <c r="W149" s="45"/>
      <c r="X149" s="45"/>
      <c r="Y149" s="45"/>
      <c r="Z149" s="45"/>
      <c r="AA149" s="45"/>
      <c r="AB149" s="44"/>
      <c r="AC149" s="44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  <c r="AO149" s="43"/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  <c r="BJ149" s="43"/>
      <c r="BK149" s="43"/>
      <c r="BL149" s="43"/>
      <c r="BM149" s="43"/>
      <c r="BN149" s="43"/>
      <c r="BO149" s="43"/>
      <c r="BP149" s="43"/>
      <c r="BQ149" s="43"/>
      <c r="BR149" s="43"/>
      <c r="BS149" s="43"/>
      <c r="BT149" s="43"/>
      <c r="BU149" s="43"/>
      <c r="BV149" s="43"/>
      <c r="BW149" s="43"/>
      <c r="BX149" s="43"/>
      <c r="BY149" s="43"/>
      <c r="BZ149" s="43"/>
      <c r="CA149" s="43"/>
      <c r="CB149" s="43"/>
      <c r="CC149" s="43"/>
      <c r="CD149" s="43"/>
      <c r="CE149" s="43"/>
    </row>
    <row r="150" spans="1:83" ht="14.25" customHeight="1" x14ac:dyDescent="0.25">
      <c r="A150" s="14"/>
      <c r="B150" s="14"/>
      <c r="C150" s="29"/>
      <c r="D150" s="14"/>
      <c r="E150" s="14"/>
      <c r="F150" s="29"/>
      <c r="G150" s="29"/>
      <c r="H150" s="43"/>
      <c r="I150" s="43"/>
      <c r="J150" s="43"/>
      <c r="K150" s="43"/>
      <c r="L150" s="43"/>
      <c r="M150" s="44"/>
      <c r="N150" s="44"/>
      <c r="O150" s="44"/>
      <c r="P150" s="44"/>
      <c r="Q150" s="44"/>
      <c r="R150" s="44"/>
      <c r="S150" s="44"/>
      <c r="T150" s="45"/>
      <c r="U150" s="45"/>
      <c r="V150" s="45"/>
      <c r="W150" s="45"/>
      <c r="X150" s="45"/>
      <c r="Y150" s="45"/>
      <c r="Z150" s="45"/>
      <c r="AA150" s="45"/>
      <c r="AB150" s="44"/>
      <c r="AC150" s="44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  <c r="AO150" s="43"/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  <c r="BJ150" s="43"/>
      <c r="BK150" s="43"/>
      <c r="BL150" s="43"/>
      <c r="BM150" s="43"/>
      <c r="BN150" s="43"/>
      <c r="BO150" s="43"/>
      <c r="BP150" s="43"/>
      <c r="BQ150" s="43"/>
      <c r="BR150" s="43"/>
      <c r="BS150" s="43"/>
      <c r="BT150" s="43"/>
      <c r="BU150" s="43"/>
      <c r="BV150" s="43"/>
      <c r="BW150" s="43"/>
      <c r="BX150" s="43"/>
      <c r="BY150" s="43"/>
      <c r="BZ150" s="43"/>
      <c r="CA150" s="43"/>
      <c r="CB150" s="43"/>
      <c r="CC150" s="43"/>
      <c r="CD150" s="43"/>
      <c r="CE150" s="43"/>
    </row>
    <row r="151" spans="1:83" ht="14.25" customHeight="1" x14ac:dyDescent="0.25">
      <c r="A151" s="14"/>
      <c r="B151" s="14"/>
      <c r="C151" s="29"/>
      <c r="D151" s="29"/>
      <c r="E151" s="29"/>
      <c r="F151" s="42"/>
      <c r="G151" s="42"/>
      <c r="H151" s="43"/>
      <c r="I151" s="43"/>
      <c r="J151" s="43"/>
      <c r="K151" s="43"/>
      <c r="L151" s="43"/>
      <c r="M151" s="44"/>
      <c r="N151" s="44"/>
      <c r="O151" s="44"/>
      <c r="P151" s="44"/>
      <c r="Q151" s="44"/>
      <c r="R151" s="44"/>
      <c r="S151" s="44"/>
      <c r="T151" s="45"/>
      <c r="U151" s="45"/>
      <c r="V151" s="45"/>
      <c r="W151" s="45"/>
      <c r="X151" s="45"/>
      <c r="Y151" s="45"/>
      <c r="Z151" s="45"/>
      <c r="AA151" s="45"/>
      <c r="AB151" s="44"/>
      <c r="AC151" s="44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  <c r="AO151" s="43"/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  <c r="BJ151" s="43"/>
      <c r="BK151" s="43"/>
      <c r="BL151" s="43"/>
      <c r="BM151" s="43"/>
      <c r="BN151" s="43"/>
      <c r="BO151" s="43"/>
      <c r="BP151" s="43"/>
      <c r="BQ151" s="43"/>
      <c r="BR151" s="43"/>
      <c r="BS151" s="43"/>
      <c r="BT151" s="43"/>
      <c r="BU151" s="43"/>
      <c r="BV151" s="43"/>
      <c r="BW151" s="43"/>
      <c r="BX151" s="43"/>
      <c r="BY151" s="43"/>
      <c r="BZ151" s="43"/>
      <c r="CA151" s="43"/>
      <c r="CB151" s="43"/>
      <c r="CC151" s="43"/>
      <c r="CD151" s="43"/>
      <c r="CE151" s="43"/>
    </row>
    <row r="152" spans="1:83" ht="14.25" customHeight="1" x14ac:dyDescent="0.25">
      <c r="A152" s="14"/>
      <c r="B152" s="14"/>
      <c r="C152" s="29"/>
      <c r="D152" s="14"/>
      <c r="E152" s="14"/>
      <c r="F152" s="29"/>
      <c r="G152" s="29"/>
      <c r="H152" s="43"/>
      <c r="I152" s="43"/>
      <c r="J152" s="43"/>
      <c r="K152" s="43"/>
      <c r="L152" s="43"/>
      <c r="M152" s="44"/>
      <c r="N152" s="44"/>
      <c r="O152" s="44"/>
      <c r="P152" s="44"/>
      <c r="Q152" s="44"/>
      <c r="R152" s="44"/>
      <c r="S152" s="44"/>
      <c r="T152" s="45"/>
      <c r="U152" s="45"/>
      <c r="V152" s="45"/>
      <c r="W152" s="45"/>
      <c r="X152" s="45"/>
      <c r="Y152" s="45"/>
      <c r="Z152" s="45"/>
      <c r="AA152" s="45"/>
      <c r="AB152" s="44"/>
      <c r="AC152" s="44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  <c r="AO152" s="43"/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  <c r="BJ152" s="43"/>
      <c r="BK152" s="43"/>
      <c r="BL152" s="43"/>
      <c r="BM152" s="43"/>
      <c r="BN152" s="43"/>
      <c r="BO152" s="43"/>
      <c r="BP152" s="43"/>
      <c r="BQ152" s="43"/>
      <c r="BR152" s="43"/>
      <c r="BS152" s="43"/>
      <c r="BT152" s="43"/>
      <c r="BU152" s="43"/>
      <c r="BV152" s="43"/>
      <c r="BW152" s="43"/>
      <c r="BX152" s="43"/>
      <c r="BY152" s="43"/>
      <c r="BZ152" s="43"/>
      <c r="CA152" s="43"/>
      <c r="CB152" s="43"/>
      <c r="CC152" s="43"/>
      <c r="CD152" s="43"/>
      <c r="CE152" s="43"/>
    </row>
    <row r="153" spans="1:83" ht="14.25" customHeight="1" x14ac:dyDescent="0.25">
      <c r="A153" s="14"/>
      <c r="B153" s="14"/>
      <c r="C153" s="29"/>
      <c r="D153" s="29"/>
      <c r="E153" s="29"/>
      <c r="F153" s="29"/>
      <c r="G153" s="29"/>
      <c r="H153" s="43"/>
      <c r="I153" s="43"/>
      <c r="J153" s="43"/>
      <c r="K153" s="43"/>
      <c r="L153" s="43"/>
      <c r="M153" s="44"/>
      <c r="N153" s="44"/>
      <c r="O153" s="44"/>
      <c r="P153" s="44"/>
      <c r="Q153" s="44"/>
      <c r="R153" s="44"/>
      <c r="S153" s="44"/>
      <c r="T153" s="45"/>
      <c r="U153" s="45"/>
      <c r="V153" s="45"/>
      <c r="W153" s="45"/>
      <c r="X153" s="45"/>
      <c r="Y153" s="45"/>
      <c r="Z153" s="45"/>
      <c r="AA153" s="45"/>
      <c r="AB153" s="44"/>
      <c r="AC153" s="44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  <c r="AO153" s="43"/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  <c r="BJ153" s="43"/>
      <c r="BK153" s="43"/>
      <c r="BL153" s="43"/>
      <c r="BM153" s="43"/>
      <c r="BN153" s="43"/>
      <c r="BO153" s="43"/>
      <c r="BP153" s="43"/>
      <c r="BQ153" s="43"/>
      <c r="BR153" s="43"/>
      <c r="BS153" s="43"/>
      <c r="BT153" s="43"/>
      <c r="BU153" s="43"/>
      <c r="BV153" s="43"/>
      <c r="BW153" s="43"/>
      <c r="BX153" s="43"/>
      <c r="BY153" s="43"/>
      <c r="BZ153" s="43"/>
      <c r="CA153" s="43"/>
      <c r="CB153" s="43"/>
      <c r="CC153" s="43"/>
      <c r="CD153" s="43"/>
      <c r="CE153" s="43"/>
    </row>
    <row r="154" spans="1:83" ht="14.25" customHeight="1" x14ac:dyDescent="0.25">
      <c r="A154" s="14"/>
      <c r="B154" s="14"/>
      <c r="C154" s="29"/>
      <c r="D154" s="14"/>
      <c r="E154" s="14"/>
      <c r="F154" s="29"/>
      <c r="G154" s="29"/>
      <c r="H154" s="43"/>
      <c r="I154" s="43"/>
      <c r="J154" s="43"/>
      <c r="K154" s="43"/>
      <c r="L154" s="43"/>
      <c r="M154" s="44"/>
      <c r="N154" s="44"/>
      <c r="O154" s="44"/>
      <c r="P154" s="44"/>
      <c r="Q154" s="44"/>
      <c r="R154" s="44"/>
      <c r="S154" s="44"/>
      <c r="T154" s="45"/>
      <c r="U154" s="45"/>
      <c r="V154" s="45"/>
      <c r="W154" s="45"/>
      <c r="X154" s="45"/>
      <c r="Y154" s="45"/>
      <c r="Z154" s="45"/>
      <c r="AA154" s="45"/>
      <c r="AB154" s="44"/>
      <c r="AC154" s="44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  <c r="BJ154" s="43"/>
      <c r="BK154" s="43"/>
      <c r="BL154" s="43"/>
      <c r="BM154" s="43"/>
      <c r="BN154" s="43"/>
      <c r="BO154" s="43"/>
      <c r="BP154" s="43"/>
      <c r="BQ154" s="43"/>
      <c r="BR154" s="43"/>
      <c r="BS154" s="43"/>
      <c r="BT154" s="43"/>
      <c r="BU154" s="43"/>
      <c r="BV154" s="43"/>
      <c r="BW154" s="43"/>
      <c r="BX154" s="43"/>
      <c r="BY154" s="43"/>
      <c r="BZ154" s="43"/>
      <c r="CA154" s="43"/>
      <c r="CB154" s="43"/>
      <c r="CC154" s="43"/>
      <c r="CD154" s="43"/>
      <c r="CE154" s="43"/>
    </row>
    <row r="155" spans="1:83" ht="14.25" customHeight="1" x14ac:dyDescent="0.25">
      <c r="A155" s="14"/>
      <c r="B155" s="14"/>
      <c r="C155" s="29"/>
      <c r="D155" s="14"/>
      <c r="E155" s="14"/>
      <c r="F155" s="29"/>
      <c r="G155" s="29"/>
      <c r="H155" s="43"/>
      <c r="I155" s="43"/>
      <c r="J155" s="43"/>
      <c r="K155" s="43"/>
      <c r="L155" s="43"/>
      <c r="M155" s="44"/>
      <c r="N155" s="44"/>
      <c r="O155" s="44"/>
      <c r="P155" s="44"/>
      <c r="Q155" s="44"/>
      <c r="R155" s="44"/>
      <c r="S155" s="44"/>
      <c r="T155" s="45"/>
      <c r="U155" s="45"/>
      <c r="V155" s="45"/>
      <c r="W155" s="45"/>
      <c r="X155" s="45"/>
      <c r="Y155" s="45"/>
      <c r="Z155" s="45"/>
      <c r="AA155" s="45"/>
      <c r="AB155" s="44"/>
      <c r="AC155" s="44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  <c r="BJ155" s="43"/>
      <c r="BK155" s="43"/>
      <c r="BL155" s="43"/>
      <c r="BM155" s="43"/>
      <c r="BN155" s="43"/>
      <c r="BO155" s="43"/>
      <c r="BP155" s="43"/>
      <c r="BQ155" s="43"/>
      <c r="BR155" s="43"/>
      <c r="BS155" s="43"/>
      <c r="BT155" s="43"/>
      <c r="BU155" s="43"/>
      <c r="BV155" s="43"/>
      <c r="BW155" s="43"/>
      <c r="BX155" s="43"/>
      <c r="BY155" s="43"/>
      <c r="BZ155" s="43"/>
      <c r="CA155" s="43"/>
      <c r="CB155" s="43"/>
      <c r="CC155" s="43"/>
      <c r="CD155" s="43"/>
      <c r="CE155" s="43"/>
    </row>
    <row r="156" spans="1:83" ht="14.25" customHeight="1" x14ac:dyDescent="0.25">
      <c r="A156" s="14"/>
      <c r="B156" s="14"/>
      <c r="C156" s="29"/>
      <c r="D156" s="29"/>
      <c r="E156" s="29"/>
      <c r="F156" s="29"/>
      <c r="G156" s="29"/>
      <c r="H156" s="43"/>
      <c r="I156" s="43"/>
      <c r="J156" s="43"/>
      <c r="K156" s="43"/>
      <c r="L156" s="43"/>
      <c r="M156" s="44"/>
      <c r="N156" s="44"/>
      <c r="O156" s="44"/>
      <c r="P156" s="44"/>
      <c r="Q156" s="44"/>
      <c r="R156" s="44"/>
      <c r="S156" s="44"/>
      <c r="T156" s="45"/>
      <c r="U156" s="45"/>
      <c r="V156" s="45"/>
      <c r="W156" s="45"/>
      <c r="X156" s="45"/>
      <c r="Y156" s="45"/>
      <c r="Z156" s="45"/>
      <c r="AA156" s="45"/>
      <c r="AB156" s="44"/>
      <c r="AC156" s="44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3"/>
      <c r="BL156" s="43"/>
      <c r="BM156" s="43"/>
      <c r="BN156" s="43"/>
      <c r="BO156" s="43"/>
      <c r="BP156" s="43"/>
      <c r="BQ156" s="43"/>
      <c r="BR156" s="43"/>
      <c r="BS156" s="43"/>
      <c r="BT156" s="43"/>
      <c r="BU156" s="43"/>
      <c r="BV156" s="43"/>
      <c r="BW156" s="43"/>
      <c r="BX156" s="43"/>
      <c r="BY156" s="43"/>
      <c r="BZ156" s="43"/>
      <c r="CA156" s="43"/>
      <c r="CB156" s="43"/>
      <c r="CC156" s="43"/>
      <c r="CD156" s="43"/>
      <c r="CE156" s="43"/>
    </row>
    <row r="157" spans="1:83" ht="14.25" customHeight="1" x14ac:dyDescent="0.25">
      <c r="A157" s="14"/>
      <c r="B157" s="14"/>
      <c r="C157" s="29"/>
      <c r="D157" s="14"/>
      <c r="E157" s="14"/>
      <c r="F157" s="29"/>
      <c r="G157" s="29"/>
      <c r="H157" s="43"/>
      <c r="I157" s="43"/>
      <c r="J157" s="43"/>
      <c r="K157" s="43"/>
      <c r="L157" s="43"/>
      <c r="M157" s="44"/>
      <c r="N157" s="44"/>
      <c r="O157" s="44"/>
      <c r="P157" s="44"/>
      <c r="Q157" s="44"/>
      <c r="R157" s="44"/>
      <c r="S157" s="44"/>
      <c r="T157" s="45"/>
      <c r="U157" s="45"/>
      <c r="V157" s="45"/>
      <c r="W157" s="45"/>
      <c r="X157" s="45"/>
      <c r="Y157" s="45"/>
      <c r="Z157" s="45"/>
      <c r="AA157" s="45"/>
      <c r="AB157" s="44"/>
      <c r="AC157" s="44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  <c r="BJ157" s="43"/>
      <c r="BK157" s="43"/>
      <c r="BL157" s="43"/>
      <c r="BM157" s="43"/>
      <c r="BN157" s="43"/>
      <c r="BO157" s="43"/>
      <c r="BP157" s="43"/>
      <c r="BQ157" s="43"/>
      <c r="BR157" s="43"/>
      <c r="BS157" s="43"/>
      <c r="BT157" s="43"/>
      <c r="BU157" s="43"/>
      <c r="BV157" s="43"/>
      <c r="BW157" s="43"/>
      <c r="BX157" s="43"/>
      <c r="BY157" s="43"/>
      <c r="BZ157" s="43"/>
      <c r="CA157" s="43"/>
      <c r="CB157" s="43"/>
      <c r="CC157" s="43"/>
      <c r="CD157" s="43"/>
      <c r="CE157" s="43"/>
    </row>
    <row r="158" spans="1:83" ht="14.25" customHeight="1" x14ac:dyDescent="0.25">
      <c r="A158" s="14"/>
      <c r="B158" s="14"/>
      <c r="C158" s="29"/>
      <c r="D158" s="14"/>
      <c r="E158" s="14"/>
      <c r="F158" s="29"/>
      <c r="G158" s="29"/>
      <c r="H158" s="43"/>
      <c r="I158" s="43"/>
      <c r="J158" s="43"/>
      <c r="K158" s="43"/>
      <c r="L158" s="43"/>
      <c r="M158" s="44"/>
      <c r="N158" s="44"/>
      <c r="O158" s="44"/>
      <c r="P158" s="44"/>
      <c r="Q158" s="44"/>
      <c r="R158" s="44"/>
      <c r="S158" s="44"/>
      <c r="T158" s="45"/>
      <c r="U158" s="45"/>
      <c r="V158" s="45"/>
      <c r="W158" s="45"/>
      <c r="X158" s="45"/>
      <c r="Y158" s="45"/>
      <c r="Z158" s="45"/>
      <c r="AA158" s="45"/>
      <c r="AB158" s="44"/>
      <c r="AC158" s="44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  <c r="BJ158" s="43"/>
      <c r="BK158" s="43"/>
      <c r="BL158" s="43"/>
      <c r="BM158" s="43"/>
      <c r="BN158" s="43"/>
      <c r="BO158" s="43"/>
      <c r="BP158" s="43"/>
      <c r="BQ158" s="43"/>
      <c r="BR158" s="43"/>
      <c r="BS158" s="43"/>
      <c r="BT158" s="43"/>
      <c r="BU158" s="43"/>
      <c r="BV158" s="43"/>
      <c r="BW158" s="43"/>
      <c r="BX158" s="43"/>
      <c r="BY158" s="43"/>
      <c r="BZ158" s="43"/>
      <c r="CA158" s="43"/>
      <c r="CB158" s="43"/>
      <c r="CC158" s="43"/>
      <c r="CD158" s="43"/>
      <c r="CE158" s="43"/>
    </row>
    <row r="159" spans="1:83" ht="14.25" customHeight="1" x14ac:dyDescent="0.25">
      <c r="A159" s="14"/>
      <c r="B159" s="14"/>
      <c r="C159" s="29"/>
      <c r="D159" s="29"/>
      <c r="E159" s="29"/>
      <c r="F159" s="29"/>
      <c r="G159" s="29"/>
      <c r="H159" s="43"/>
      <c r="I159" s="43"/>
      <c r="J159" s="43"/>
      <c r="K159" s="43"/>
      <c r="L159" s="43"/>
      <c r="M159" s="44"/>
      <c r="N159" s="44"/>
      <c r="O159" s="44"/>
      <c r="P159" s="44"/>
      <c r="Q159" s="44"/>
      <c r="R159" s="44"/>
      <c r="S159" s="44"/>
      <c r="T159" s="45"/>
      <c r="U159" s="45"/>
      <c r="V159" s="45"/>
      <c r="W159" s="45"/>
      <c r="X159" s="45"/>
      <c r="Y159" s="45"/>
      <c r="Z159" s="45"/>
      <c r="AA159" s="45"/>
      <c r="AB159" s="44"/>
      <c r="AC159" s="44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  <c r="BJ159" s="43"/>
      <c r="BK159" s="43"/>
      <c r="BL159" s="43"/>
      <c r="BM159" s="43"/>
      <c r="BN159" s="43"/>
      <c r="BO159" s="43"/>
      <c r="BP159" s="43"/>
      <c r="BQ159" s="43"/>
      <c r="BR159" s="43"/>
      <c r="BS159" s="43"/>
      <c r="BT159" s="43"/>
      <c r="BU159" s="43"/>
      <c r="BV159" s="43"/>
      <c r="BW159" s="43"/>
      <c r="BX159" s="43"/>
      <c r="BY159" s="43"/>
      <c r="BZ159" s="43"/>
      <c r="CA159" s="43"/>
      <c r="CB159" s="43"/>
      <c r="CC159" s="43"/>
      <c r="CD159" s="43"/>
      <c r="CE159" s="43"/>
    </row>
    <row r="160" spans="1:83" ht="14.25" customHeight="1" x14ac:dyDescent="0.25">
      <c r="A160" s="14"/>
      <c r="B160" s="14"/>
      <c r="C160" s="29"/>
      <c r="D160" s="14"/>
      <c r="E160" s="14"/>
      <c r="F160" s="29"/>
      <c r="G160" s="29"/>
      <c r="H160" s="43"/>
      <c r="I160" s="43"/>
      <c r="J160" s="43"/>
      <c r="K160" s="43"/>
      <c r="L160" s="43"/>
      <c r="M160" s="44"/>
      <c r="N160" s="44"/>
      <c r="O160" s="44"/>
      <c r="P160" s="44"/>
      <c r="Q160" s="44"/>
      <c r="R160" s="44"/>
      <c r="S160" s="44"/>
      <c r="T160" s="45"/>
      <c r="U160" s="45"/>
      <c r="V160" s="45"/>
      <c r="W160" s="45"/>
      <c r="X160" s="45"/>
      <c r="Y160" s="45"/>
      <c r="Z160" s="45"/>
      <c r="AA160" s="45"/>
      <c r="AB160" s="44"/>
      <c r="AC160" s="44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  <c r="BJ160" s="43"/>
      <c r="BK160" s="43"/>
      <c r="BL160" s="43"/>
      <c r="BM160" s="43"/>
      <c r="BN160" s="43"/>
      <c r="BO160" s="43"/>
      <c r="BP160" s="43"/>
      <c r="BQ160" s="43"/>
      <c r="BR160" s="43"/>
      <c r="BS160" s="43"/>
      <c r="BT160" s="43"/>
      <c r="BU160" s="43"/>
      <c r="BV160" s="43"/>
      <c r="BW160" s="43"/>
      <c r="BX160" s="43"/>
      <c r="BY160" s="43"/>
      <c r="BZ160" s="43"/>
      <c r="CA160" s="43"/>
      <c r="CB160" s="43"/>
      <c r="CC160" s="43"/>
      <c r="CD160" s="43"/>
      <c r="CE160" s="43"/>
    </row>
    <row r="161" spans="1:83" ht="14.25" customHeight="1" x14ac:dyDescent="0.25">
      <c r="A161" s="14"/>
      <c r="B161" s="14"/>
      <c r="C161" s="29"/>
      <c r="D161" s="14"/>
      <c r="E161" s="14"/>
      <c r="F161" s="29"/>
      <c r="G161" s="29"/>
      <c r="H161" s="43"/>
      <c r="I161" s="43"/>
      <c r="J161" s="43"/>
      <c r="K161" s="43"/>
      <c r="L161" s="43"/>
      <c r="M161" s="44"/>
      <c r="N161" s="44"/>
      <c r="O161" s="44"/>
      <c r="P161" s="44"/>
      <c r="Q161" s="44"/>
      <c r="R161" s="44"/>
      <c r="S161" s="44"/>
      <c r="T161" s="45"/>
      <c r="U161" s="45"/>
      <c r="V161" s="45"/>
      <c r="W161" s="45"/>
      <c r="X161" s="45"/>
      <c r="Y161" s="45"/>
      <c r="Z161" s="45"/>
      <c r="AA161" s="45"/>
      <c r="AB161" s="44"/>
      <c r="AC161" s="44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  <c r="BJ161" s="43"/>
      <c r="BK161" s="43"/>
      <c r="BL161" s="43"/>
      <c r="BM161" s="43"/>
      <c r="BN161" s="43"/>
      <c r="BO161" s="43"/>
      <c r="BP161" s="43"/>
      <c r="BQ161" s="43"/>
      <c r="BR161" s="43"/>
      <c r="BS161" s="43"/>
      <c r="BT161" s="43"/>
      <c r="BU161" s="43"/>
      <c r="BV161" s="43"/>
      <c r="BW161" s="43"/>
      <c r="BX161" s="43"/>
      <c r="BY161" s="43"/>
      <c r="BZ161" s="43"/>
      <c r="CA161" s="43"/>
      <c r="CB161" s="43"/>
      <c r="CC161" s="43"/>
      <c r="CD161" s="43"/>
      <c r="CE161" s="43"/>
    </row>
    <row r="162" spans="1:83" ht="14.25" customHeight="1" x14ac:dyDescent="0.25">
      <c r="A162" s="14"/>
      <c r="B162" s="14"/>
      <c r="C162" s="29"/>
      <c r="D162" s="29"/>
      <c r="E162" s="29"/>
      <c r="F162" s="42"/>
      <c r="G162" s="42"/>
      <c r="H162" s="43"/>
      <c r="I162" s="43"/>
      <c r="J162" s="43"/>
      <c r="K162" s="43"/>
      <c r="L162" s="43"/>
      <c r="M162" s="44"/>
      <c r="N162" s="44"/>
      <c r="O162" s="44"/>
      <c r="P162" s="44"/>
      <c r="Q162" s="44"/>
      <c r="R162" s="44"/>
      <c r="S162" s="44"/>
      <c r="T162" s="45"/>
      <c r="U162" s="45"/>
      <c r="V162" s="45"/>
      <c r="W162" s="45"/>
      <c r="X162" s="45"/>
      <c r="Y162" s="45"/>
      <c r="Z162" s="45"/>
      <c r="AA162" s="45"/>
      <c r="AB162" s="44"/>
      <c r="AC162" s="44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  <c r="BJ162" s="43"/>
      <c r="BK162" s="43"/>
      <c r="BL162" s="43"/>
      <c r="BM162" s="43"/>
      <c r="BN162" s="43"/>
      <c r="BO162" s="43"/>
      <c r="BP162" s="43"/>
      <c r="BQ162" s="43"/>
      <c r="BR162" s="43"/>
      <c r="BS162" s="43"/>
      <c r="BT162" s="43"/>
      <c r="BU162" s="43"/>
      <c r="BV162" s="43"/>
      <c r="BW162" s="43"/>
      <c r="BX162" s="43"/>
      <c r="BY162" s="43"/>
      <c r="BZ162" s="43"/>
      <c r="CA162" s="43"/>
      <c r="CB162" s="43"/>
      <c r="CC162" s="43"/>
      <c r="CD162" s="43"/>
      <c r="CE162" s="43"/>
    </row>
    <row r="163" spans="1:83" ht="14.25" customHeight="1" x14ac:dyDescent="0.25">
      <c r="A163" s="14"/>
      <c r="B163" s="14"/>
      <c r="C163" s="29"/>
      <c r="D163" s="29"/>
      <c r="E163" s="29"/>
      <c r="F163" s="29"/>
      <c r="G163" s="29"/>
      <c r="H163" s="43"/>
      <c r="I163" s="43"/>
      <c r="J163" s="43"/>
      <c r="K163" s="43"/>
      <c r="L163" s="43"/>
      <c r="M163" s="44"/>
      <c r="N163" s="44"/>
      <c r="O163" s="44"/>
      <c r="P163" s="44"/>
      <c r="Q163" s="44"/>
      <c r="R163" s="44"/>
      <c r="S163" s="44"/>
      <c r="T163" s="45"/>
      <c r="U163" s="45"/>
      <c r="V163" s="45"/>
      <c r="W163" s="45"/>
      <c r="X163" s="45"/>
      <c r="Y163" s="45"/>
      <c r="Z163" s="45"/>
      <c r="AA163" s="45"/>
      <c r="AB163" s="44"/>
      <c r="AC163" s="44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  <c r="BJ163" s="43"/>
      <c r="BK163" s="43"/>
      <c r="BL163" s="43"/>
      <c r="BM163" s="43"/>
      <c r="BN163" s="43"/>
      <c r="BO163" s="43"/>
      <c r="BP163" s="43"/>
      <c r="BQ163" s="43"/>
      <c r="BR163" s="43"/>
      <c r="BS163" s="43"/>
      <c r="BT163" s="43"/>
      <c r="BU163" s="43"/>
      <c r="BV163" s="43"/>
      <c r="BW163" s="43"/>
      <c r="BX163" s="43"/>
      <c r="BY163" s="43"/>
      <c r="BZ163" s="43"/>
      <c r="CA163" s="43"/>
      <c r="CB163" s="43"/>
      <c r="CC163" s="43"/>
      <c r="CD163" s="43"/>
      <c r="CE163" s="43"/>
    </row>
    <row r="164" spans="1:83" ht="14.25" customHeight="1" x14ac:dyDescent="0.25">
      <c r="A164" s="14"/>
      <c r="B164" s="14"/>
      <c r="C164" s="29"/>
      <c r="D164" s="14"/>
      <c r="E164" s="14"/>
      <c r="F164" s="29"/>
      <c r="G164" s="29"/>
      <c r="H164" s="43"/>
      <c r="I164" s="43"/>
      <c r="J164" s="43"/>
      <c r="K164" s="43"/>
      <c r="L164" s="43"/>
      <c r="M164" s="44"/>
      <c r="N164" s="44"/>
      <c r="O164" s="44"/>
      <c r="P164" s="44"/>
      <c r="Q164" s="44"/>
      <c r="R164" s="44"/>
      <c r="S164" s="44"/>
      <c r="T164" s="45"/>
      <c r="U164" s="45"/>
      <c r="V164" s="45"/>
      <c r="W164" s="45"/>
      <c r="X164" s="45"/>
      <c r="Y164" s="45"/>
      <c r="Z164" s="45"/>
      <c r="AA164" s="45"/>
      <c r="AB164" s="44"/>
      <c r="AC164" s="44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  <c r="BJ164" s="43"/>
      <c r="BK164" s="43"/>
      <c r="BL164" s="43"/>
      <c r="BM164" s="43"/>
      <c r="BN164" s="43"/>
      <c r="BO164" s="43"/>
      <c r="BP164" s="43"/>
      <c r="BQ164" s="43"/>
      <c r="BR164" s="43"/>
      <c r="BS164" s="43"/>
      <c r="BT164" s="43"/>
      <c r="BU164" s="43"/>
      <c r="BV164" s="43"/>
      <c r="BW164" s="43"/>
      <c r="BX164" s="43"/>
      <c r="BY164" s="43"/>
      <c r="BZ164" s="43"/>
      <c r="CA164" s="43"/>
      <c r="CB164" s="43"/>
      <c r="CC164" s="43"/>
      <c r="CD164" s="43"/>
      <c r="CE164" s="43"/>
    </row>
    <row r="165" spans="1:83" ht="14.25" customHeight="1" x14ac:dyDescent="0.25">
      <c r="A165" s="14"/>
      <c r="B165" s="14"/>
      <c r="C165" s="29"/>
      <c r="D165" s="14"/>
      <c r="E165" s="14"/>
      <c r="F165" s="29"/>
      <c r="G165" s="29"/>
      <c r="H165" s="43"/>
      <c r="I165" s="43"/>
      <c r="J165" s="43"/>
      <c r="K165" s="43"/>
      <c r="L165" s="43"/>
      <c r="M165" s="44"/>
      <c r="N165" s="44"/>
      <c r="O165" s="44"/>
      <c r="P165" s="44"/>
      <c r="Q165" s="44"/>
      <c r="R165" s="44"/>
      <c r="S165" s="44"/>
      <c r="T165" s="45"/>
      <c r="U165" s="45"/>
      <c r="V165" s="45"/>
      <c r="W165" s="45"/>
      <c r="X165" s="45"/>
      <c r="Y165" s="45"/>
      <c r="Z165" s="45"/>
      <c r="AA165" s="45"/>
      <c r="AB165" s="44"/>
      <c r="AC165" s="44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  <c r="BJ165" s="43"/>
      <c r="BK165" s="43"/>
      <c r="BL165" s="43"/>
      <c r="BM165" s="43"/>
      <c r="BN165" s="43"/>
      <c r="BO165" s="43"/>
      <c r="BP165" s="43"/>
      <c r="BQ165" s="43"/>
      <c r="BR165" s="43"/>
      <c r="BS165" s="43"/>
      <c r="BT165" s="43"/>
      <c r="BU165" s="43"/>
      <c r="BV165" s="43"/>
      <c r="BW165" s="43"/>
      <c r="BX165" s="43"/>
      <c r="BY165" s="43"/>
      <c r="BZ165" s="43"/>
      <c r="CA165" s="43"/>
      <c r="CB165" s="43"/>
      <c r="CC165" s="43"/>
      <c r="CD165" s="43"/>
      <c r="CE165" s="43"/>
    </row>
    <row r="166" spans="1:83" ht="14.25" customHeight="1" x14ac:dyDescent="0.25">
      <c r="A166" s="14"/>
      <c r="B166" s="14"/>
      <c r="C166" s="29"/>
      <c r="D166" s="29"/>
      <c r="E166" s="29"/>
      <c r="F166" s="29"/>
      <c r="G166" s="29"/>
      <c r="H166" s="43"/>
      <c r="I166" s="43"/>
      <c r="J166" s="43"/>
      <c r="K166" s="43"/>
      <c r="L166" s="43"/>
      <c r="M166" s="44"/>
      <c r="N166" s="44"/>
      <c r="O166" s="44"/>
      <c r="P166" s="44"/>
      <c r="Q166" s="44"/>
      <c r="R166" s="44"/>
      <c r="S166" s="44"/>
      <c r="T166" s="45"/>
      <c r="U166" s="45"/>
      <c r="V166" s="45"/>
      <c r="W166" s="45"/>
      <c r="X166" s="45"/>
      <c r="Y166" s="45"/>
      <c r="Z166" s="45"/>
      <c r="AA166" s="45"/>
      <c r="AB166" s="44"/>
      <c r="AC166" s="44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  <c r="AO166" s="43"/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  <c r="BJ166" s="43"/>
      <c r="BK166" s="43"/>
      <c r="BL166" s="43"/>
      <c r="BM166" s="43"/>
      <c r="BN166" s="43"/>
      <c r="BO166" s="43"/>
      <c r="BP166" s="43"/>
      <c r="BQ166" s="43"/>
      <c r="BR166" s="43"/>
      <c r="BS166" s="43"/>
      <c r="BT166" s="43"/>
      <c r="BU166" s="43"/>
      <c r="BV166" s="43"/>
      <c r="BW166" s="43"/>
      <c r="BX166" s="43"/>
      <c r="BY166" s="43"/>
      <c r="BZ166" s="43"/>
      <c r="CA166" s="43"/>
      <c r="CB166" s="43"/>
      <c r="CC166" s="43"/>
      <c r="CD166" s="43"/>
      <c r="CE166" s="43"/>
    </row>
    <row r="167" spans="1:83" ht="14.25" customHeight="1" x14ac:dyDescent="0.25">
      <c r="A167" s="14"/>
      <c r="B167" s="14"/>
      <c r="C167" s="29"/>
      <c r="D167" s="14"/>
      <c r="E167" s="14"/>
      <c r="F167" s="29"/>
      <c r="G167" s="29"/>
      <c r="H167" s="43"/>
      <c r="I167" s="43"/>
      <c r="J167" s="43"/>
      <c r="K167" s="43"/>
      <c r="L167" s="43"/>
      <c r="M167" s="44"/>
      <c r="N167" s="44"/>
      <c r="O167" s="44"/>
      <c r="P167" s="44"/>
      <c r="Q167" s="44"/>
      <c r="R167" s="44"/>
      <c r="S167" s="44"/>
      <c r="T167" s="45"/>
      <c r="U167" s="45"/>
      <c r="V167" s="45"/>
      <c r="W167" s="45"/>
      <c r="X167" s="45"/>
      <c r="Y167" s="45"/>
      <c r="Z167" s="45"/>
      <c r="AA167" s="45"/>
      <c r="AB167" s="44"/>
      <c r="AC167" s="44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  <c r="BJ167" s="43"/>
      <c r="BK167" s="43"/>
      <c r="BL167" s="43"/>
      <c r="BM167" s="43"/>
      <c r="BN167" s="43"/>
      <c r="BO167" s="43"/>
      <c r="BP167" s="43"/>
      <c r="BQ167" s="43"/>
      <c r="BR167" s="43"/>
      <c r="BS167" s="43"/>
      <c r="BT167" s="43"/>
      <c r="BU167" s="43"/>
      <c r="BV167" s="43"/>
      <c r="BW167" s="43"/>
      <c r="BX167" s="43"/>
      <c r="BY167" s="43"/>
      <c r="BZ167" s="43"/>
      <c r="CA167" s="43"/>
      <c r="CB167" s="43"/>
      <c r="CC167" s="43"/>
      <c r="CD167" s="43"/>
      <c r="CE167" s="43"/>
    </row>
    <row r="168" spans="1:83" ht="14.25" customHeight="1" x14ac:dyDescent="0.25">
      <c r="A168" s="14"/>
      <c r="B168" s="14"/>
      <c r="C168" s="29"/>
      <c r="D168" s="14"/>
      <c r="E168" s="14"/>
      <c r="F168" s="29"/>
      <c r="G168" s="29"/>
      <c r="H168" s="43"/>
      <c r="I168" s="43"/>
      <c r="J168" s="43"/>
      <c r="K168" s="43"/>
      <c r="L168" s="43"/>
      <c r="M168" s="44"/>
      <c r="N168" s="44"/>
      <c r="O168" s="44"/>
      <c r="P168" s="44"/>
      <c r="Q168" s="44"/>
      <c r="R168" s="44"/>
      <c r="S168" s="44"/>
      <c r="T168" s="45"/>
      <c r="U168" s="45"/>
      <c r="V168" s="45"/>
      <c r="W168" s="45"/>
      <c r="X168" s="45"/>
      <c r="Y168" s="45"/>
      <c r="Z168" s="45"/>
      <c r="AA168" s="45"/>
      <c r="AB168" s="44"/>
      <c r="AC168" s="44"/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  <c r="AN168" s="43"/>
      <c r="AO168" s="43"/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  <c r="BJ168" s="43"/>
      <c r="BK168" s="43"/>
      <c r="BL168" s="43"/>
      <c r="BM168" s="43"/>
      <c r="BN168" s="43"/>
      <c r="BO168" s="43"/>
      <c r="BP168" s="43"/>
      <c r="BQ168" s="43"/>
      <c r="BR168" s="43"/>
      <c r="BS168" s="43"/>
      <c r="BT168" s="43"/>
      <c r="BU168" s="43"/>
      <c r="BV168" s="43"/>
      <c r="BW168" s="43"/>
      <c r="BX168" s="43"/>
      <c r="BY168" s="43"/>
      <c r="BZ168" s="43"/>
      <c r="CA168" s="43"/>
      <c r="CB168" s="43"/>
      <c r="CC168" s="43"/>
      <c r="CD168" s="43"/>
      <c r="CE168" s="43"/>
    </row>
    <row r="169" spans="1:83" ht="14.25" customHeight="1" x14ac:dyDescent="0.25">
      <c r="A169" s="47"/>
      <c r="B169" s="47"/>
      <c r="C169" s="48"/>
      <c r="D169" s="48"/>
      <c r="E169" s="48"/>
      <c r="F169" s="48"/>
      <c r="G169" s="48"/>
      <c r="H169" s="43"/>
      <c r="I169" s="43"/>
      <c r="J169" s="43"/>
      <c r="K169" s="43"/>
      <c r="L169" s="43"/>
      <c r="M169" s="44"/>
      <c r="N169" s="44"/>
      <c r="O169" s="44"/>
      <c r="P169" s="44"/>
      <c r="Q169" s="44"/>
      <c r="R169" s="44"/>
      <c r="S169" s="44"/>
      <c r="T169" s="45"/>
      <c r="U169" s="45"/>
      <c r="V169" s="45"/>
      <c r="W169" s="45"/>
      <c r="X169" s="45"/>
      <c r="Y169" s="45"/>
      <c r="Z169" s="45"/>
      <c r="AA169" s="45"/>
      <c r="AB169" s="44"/>
      <c r="AC169" s="44"/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  <c r="AN169" s="43"/>
      <c r="AO169" s="43"/>
      <c r="AP169" s="43"/>
      <c r="AQ169" s="43"/>
      <c r="AR169" s="43"/>
      <c r="AS169" s="43"/>
      <c r="AT169" s="43"/>
      <c r="AU169" s="43"/>
      <c r="AV169" s="43"/>
      <c r="AW169" s="43"/>
      <c r="AX169" s="43"/>
      <c r="AY169" s="43"/>
      <c r="AZ169" s="43"/>
      <c r="BA169" s="43"/>
      <c r="BB169" s="43"/>
      <c r="BC169" s="43"/>
      <c r="BD169" s="43"/>
      <c r="BE169" s="43"/>
      <c r="BF169" s="43"/>
      <c r="BG169" s="43"/>
      <c r="BH169" s="43"/>
      <c r="BI169" s="43"/>
      <c r="BJ169" s="43"/>
      <c r="BK169" s="43"/>
      <c r="BL169" s="43"/>
      <c r="BM169" s="43"/>
      <c r="BN169" s="43"/>
      <c r="BO169" s="43"/>
      <c r="BP169" s="43"/>
      <c r="BQ169" s="43"/>
      <c r="BR169" s="43"/>
      <c r="BS169" s="43"/>
      <c r="BT169" s="43"/>
      <c r="BU169" s="43"/>
      <c r="BV169" s="43"/>
      <c r="BW169" s="43"/>
      <c r="BX169" s="43"/>
      <c r="BY169" s="43"/>
      <c r="BZ169" s="43"/>
      <c r="CA169" s="43"/>
      <c r="CB169" s="43"/>
      <c r="CC169" s="43"/>
      <c r="CD169" s="43"/>
      <c r="CE169" s="43"/>
    </row>
    <row r="170" spans="1:83" ht="14.25" customHeight="1" x14ac:dyDescent="0.25">
      <c r="A170" s="47"/>
      <c r="B170" s="47"/>
      <c r="C170" s="48"/>
      <c r="D170" s="47"/>
      <c r="E170" s="47"/>
      <c r="F170" s="48"/>
      <c r="G170" s="48"/>
      <c r="H170" s="43"/>
      <c r="I170" s="43"/>
      <c r="J170" s="43"/>
      <c r="K170" s="43"/>
      <c r="L170" s="43"/>
      <c r="M170" s="44"/>
      <c r="N170" s="44"/>
      <c r="O170" s="44"/>
      <c r="P170" s="44"/>
      <c r="Q170" s="44"/>
      <c r="R170" s="44"/>
      <c r="S170" s="44"/>
      <c r="T170" s="45"/>
      <c r="U170" s="45"/>
      <c r="V170" s="45"/>
      <c r="W170" s="45"/>
      <c r="X170" s="45"/>
      <c r="Y170" s="45"/>
      <c r="Z170" s="45"/>
      <c r="AA170" s="45"/>
      <c r="AB170" s="44"/>
      <c r="AC170" s="44"/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  <c r="AN170" s="43"/>
      <c r="AO170" s="43"/>
      <c r="AP170" s="43"/>
      <c r="AQ170" s="43"/>
      <c r="AR170" s="43"/>
      <c r="AS170" s="43"/>
      <c r="AT170" s="43"/>
      <c r="AU170" s="43"/>
      <c r="AV170" s="43"/>
      <c r="AW170" s="43"/>
      <c r="AX170" s="43"/>
      <c r="AY170" s="43"/>
      <c r="AZ170" s="43"/>
      <c r="BA170" s="43"/>
      <c r="BB170" s="43"/>
      <c r="BC170" s="43"/>
      <c r="BD170" s="43"/>
      <c r="BE170" s="43"/>
      <c r="BF170" s="43"/>
      <c r="BG170" s="43"/>
      <c r="BH170" s="43"/>
      <c r="BI170" s="43"/>
      <c r="BJ170" s="43"/>
      <c r="BK170" s="43"/>
      <c r="BL170" s="43"/>
      <c r="BM170" s="43"/>
      <c r="BN170" s="43"/>
      <c r="BO170" s="43"/>
      <c r="BP170" s="43"/>
      <c r="BQ170" s="43"/>
      <c r="BR170" s="43"/>
      <c r="BS170" s="43"/>
      <c r="BT170" s="43"/>
      <c r="BU170" s="43"/>
      <c r="BV170" s="43"/>
      <c r="BW170" s="43"/>
      <c r="BX170" s="43"/>
      <c r="BY170" s="43"/>
      <c r="BZ170" s="43"/>
      <c r="CA170" s="43"/>
      <c r="CB170" s="43"/>
      <c r="CC170" s="43"/>
      <c r="CD170" s="43"/>
      <c r="CE170" s="43"/>
    </row>
    <row r="171" spans="1:83" ht="14.25" customHeight="1" x14ac:dyDescent="0.25">
      <c r="A171" s="47"/>
      <c r="B171" s="47"/>
      <c r="C171" s="48"/>
      <c r="D171" s="47"/>
      <c r="E171" s="47"/>
      <c r="F171" s="48"/>
      <c r="G171" s="48"/>
      <c r="H171" s="43"/>
      <c r="I171" s="43"/>
      <c r="J171" s="43"/>
      <c r="K171" s="43"/>
      <c r="L171" s="43"/>
      <c r="M171" s="44"/>
      <c r="N171" s="44"/>
      <c r="O171" s="44"/>
      <c r="P171" s="44"/>
      <c r="Q171" s="44"/>
      <c r="R171" s="44"/>
      <c r="S171" s="44"/>
      <c r="T171" s="45"/>
      <c r="U171" s="45"/>
      <c r="V171" s="45"/>
      <c r="W171" s="45"/>
      <c r="X171" s="45"/>
      <c r="Y171" s="45"/>
      <c r="Z171" s="45"/>
      <c r="AA171" s="45"/>
      <c r="AB171" s="44"/>
      <c r="AC171" s="44"/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  <c r="AN171" s="43"/>
      <c r="AO171" s="43"/>
      <c r="AP171" s="43"/>
      <c r="AQ171" s="43"/>
      <c r="AR171" s="43"/>
      <c r="AS171" s="43"/>
      <c r="AT171" s="43"/>
      <c r="AU171" s="43"/>
      <c r="AV171" s="43"/>
      <c r="AW171" s="43"/>
      <c r="AX171" s="43"/>
      <c r="AY171" s="43"/>
      <c r="AZ171" s="43"/>
      <c r="BA171" s="43"/>
      <c r="BB171" s="43"/>
      <c r="BC171" s="43"/>
      <c r="BD171" s="43"/>
      <c r="BE171" s="43"/>
      <c r="BF171" s="43"/>
      <c r="BG171" s="43"/>
      <c r="BH171" s="43"/>
      <c r="BI171" s="43"/>
      <c r="BJ171" s="43"/>
      <c r="BK171" s="43"/>
      <c r="BL171" s="43"/>
      <c r="BM171" s="43"/>
      <c r="BN171" s="43"/>
      <c r="BO171" s="43"/>
      <c r="BP171" s="43"/>
      <c r="BQ171" s="43"/>
      <c r="BR171" s="43"/>
      <c r="BS171" s="43"/>
      <c r="BT171" s="43"/>
      <c r="BU171" s="43"/>
      <c r="BV171" s="43"/>
      <c r="BW171" s="43"/>
      <c r="BX171" s="43"/>
      <c r="BY171" s="43"/>
      <c r="BZ171" s="43"/>
      <c r="CA171" s="43"/>
      <c r="CB171" s="43"/>
      <c r="CC171" s="43"/>
      <c r="CD171" s="43"/>
      <c r="CE171" s="43"/>
    </row>
    <row r="172" spans="1:83" ht="14.25" customHeight="1" x14ac:dyDescent="0.25">
      <c r="A172" s="47"/>
      <c r="B172" s="47"/>
      <c r="C172" s="48"/>
      <c r="D172" s="48"/>
      <c r="E172" s="48"/>
      <c r="F172" s="48"/>
      <c r="G172" s="48"/>
      <c r="H172" s="43"/>
      <c r="I172" s="43"/>
      <c r="J172" s="43"/>
      <c r="K172" s="43"/>
      <c r="L172" s="43"/>
      <c r="M172" s="44"/>
      <c r="N172" s="44"/>
      <c r="O172" s="44"/>
      <c r="P172" s="44"/>
      <c r="Q172" s="44"/>
      <c r="R172" s="44"/>
      <c r="S172" s="44"/>
      <c r="T172" s="45"/>
      <c r="U172" s="45"/>
      <c r="V172" s="45"/>
      <c r="W172" s="45"/>
      <c r="X172" s="45"/>
      <c r="Y172" s="45"/>
      <c r="Z172" s="45"/>
      <c r="AA172" s="45"/>
      <c r="AB172" s="44"/>
      <c r="AC172" s="44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  <c r="AO172" s="43"/>
      <c r="AP172" s="43"/>
      <c r="AQ172" s="43"/>
      <c r="AR172" s="43"/>
      <c r="AS172" s="43"/>
      <c r="AT172" s="43"/>
      <c r="AU172" s="43"/>
      <c r="AV172" s="43"/>
      <c r="AW172" s="43"/>
      <c r="AX172" s="43"/>
      <c r="AY172" s="43"/>
      <c r="AZ172" s="43"/>
      <c r="BA172" s="43"/>
      <c r="BB172" s="43"/>
      <c r="BC172" s="43"/>
      <c r="BD172" s="43"/>
      <c r="BE172" s="43"/>
      <c r="BF172" s="43"/>
      <c r="BG172" s="43"/>
      <c r="BH172" s="43"/>
      <c r="BI172" s="43"/>
      <c r="BJ172" s="43"/>
      <c r="BK172" s="43"/>
      <c r="BL172" s="43"/>
      <c r="BM172" s="43"/>
      <c r="BN172" s="43"/>
      <c r="BO172" s="43"/>
      <c r="BP172" s="43"/>
      <c r="BQ172" s="43"/>
      <c r="BR172" s="43"/>
      <c r="BS172" s="43"/>
      <c r="BT172" s="43"/>
      <c r="BU172" s="43"/>
      <c r="BV172" s="43"/>
      <c r="BW172" s="43"/>
      <c r="BX172" s="43"/>
      <c r="BY172" s="43"/>
      <c r="BZ172" s="43"/>
      <c r="CA172" s="43"/>
      <c r="CB172" s="43"/>
      <c r="CC172" s="43"/>
      <c r="CD172" s="43"/>
      <c r="CE172" s="43"/>
    </row>
    <row r="173" spans="1:83" ht="14.25" customHeight="1" x14ac:dyDescent="0.25">
      <c r="A173" s="47"/>
      <c r="B173" s="47"/>
      <c r="C173" s="48"/>
      <c r="D173" s="47"/>
      <c r="E173" s="47"/>
      <c r="F173" s="48"/>
      <c r="G173" s="48"/>
      <c r="H173" s="43"/>
      <c r="I173" s="43"/>
      <c r="J173" s="43"/>
      <c r="K173" s="43"/>
      <c r="L173" s="43"/>
      <c r="M173" s="44"/>
      <c r="N173" s="44"/>
      <c r="O173" s="44"/>
      <c r="P173" s="44"/>
      <c r="Q173" s="44"/>
      <c r="R173" s="44"/>
      <c r="S173" s="44"/>
      <c r="T173" s="45"/>
      <c r="U173" s="45"/>
      <c r="V173" s="45"/>
      <c r="W173" s="45"/>
      <c r="X173" s="45"/>
      <c r="Y173" s="45"/>
      <c r="Z173" s="45"/>
      <c r="AA173" s="45"/>
      <c r="AB173" s="44"/>
      <c r="AC173" s="44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  <c r="AO173" s="43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  <c r="BS173" s="43"/>
      <c r="BT173" s="43"/>
      <c r="BU173" s="43"/>
      <c r="BV173" s="43"/>
      <c r="BW173" s="43"/>
      <c r="BX173" s="43"/>
      <c r="BY173" s="43"/>
      <c r="BZ173" s="43"/>
      <c r="CA173" s="43"/>
      <c r="CB173" s="43"/>
      <c r="CC173" s="43"/>
      <c r="CD173" s="43"/>
      <c r="CE173" s="43"/>
    </row>
    <row r="174" spans="1:83" ht="14.25" customHeight="1" x14ac:dyDescent="0.25">
      <c r="A174" s="47"/>
      <c r="B174" s="47"/>
      <c r="C174" s="48"/>
      <c r="D174" s="47"/>
      <c r="E174" s="47"/>
      <c r="F174" s="48"/>
      <c r="G174" s="48"/>
      <c r="H174" s="43"/>
      <c r="I174" s="43"/>
      <c r="J174" s="43"/>
      <c r="K174" s="43"/>
      <c r="L174" s="43"/>
      <c r="M174" s="44"/>
      <c r="N174" s="44"/>
      <c r="O174" s="44"/>
      <c r="P174" s="44"/>
      <c r="Q174" s="44"/>
      <c r="R174" s="44"/>
      <c r="S174" s="44"/>
      <c r="T174" s="45"/>
      <c r="U174" s="45"/>
      <c r="V174" s="45"/>
      <c r="W174" s="45"/>
      <c r="X174" s="45"/>
      <c r="Y174" s="45"/>
      <c r="Z174" s="45"/>
      <c r="AA174" s="45"/>
      <c r="AB174" s="44"/>
      <c r="AC174" s="44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  <c r="AO174" s="43"/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  <c r="BJ174" s="43"/>
      <c r="BK174" s="43"/>
      <c r="BL174" s="43"/>
      <c r="BM174" s="43"/>
      <c r="BN174" s="43"/>
      <c r="BO174" s="43"/>
      <c r="BP174" s="43"/>
      <c r="BQ174" s="43"/>
      <c r="BR174" s="43"/>
      <c r="BS174" s="43"/>
      <c r="BT174" s="43"/>
      <c r="BU174" s="43"/>
      <c r="BV174" s="43"/>
      <c r="BW174" s="43"/>
      <c r="BX174" s="43"/>
      <c r="BY174" s="43"/>
      <c r="BZ174" s="43"/>
      <c r="CA174" s="43"/>
      <c r="CB174" s="43"/>
      <c r="CC174" s="43"/>
      <c r="CD174" s="43"/>
      <c r="CE174" s="43"/>
    </row>
    <row r="175" spans="1:83" ht="14.25" customHeight="1" x14ac:dyDescent="0.25">
      <c r="A175" s="47"/>
      <c r="B175" s="47"/>
      <c r="C175" s="48"/>
      <c r="D175" s="48"/>
      <c r="E175" s="48"/>
      <c r="F175" s="48"/>
      <c r="G175" s="48"/>
      <c r="H175" s="43"/>
      <c r="I175" s="43"/>
      <c r="J175" s="43"/>
      <c r="K175" s="43"/>
      <c r="L175" s="43"/>
      <c r="M175" s="44"/>
      <c r="N175" s="44"/>
      <c r="O175" s="44"/>
      <c r="P175" s="44"/>
      <c r="Q175" s="44"/>
      <c r="R175" s="44"/>
      <c r="S175" s="44"/>
      <c r="T175" s="45"/>
      <c r="U175" s="45"/>
      <c r="V175" s="45"/>
      <c r="W175" s="45"/>
      <c r="X175" s="45"/>
      <c r="Y175" s="45"/>
      <c r="Z175" s="45"/>
      <c r="AA175" s="45"/>
      <c r="AB175" s="44"/>
      <c r="AC175" s="44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  <c r="AO175" s="43"/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  <c r="BJ175" s="43"/>
      <c r="BK175" s="43"/>
      <c r="BL175" s="43"/>
      <c r="BM175" s="43"/>
      <c r="BN175" s="43"/>
      <c r="BO175" s="43"/>
      <c r="BP175" s="43"/>
      <c r="BQ175" s="43"/>
      <c r="BR175" s="43"/>
      <c r="BS175" s="43"/>
      <c r="BT175" s="43"/>
      <c r="BU175" s="43"/>
      <c r="BV175" s="43"/>
      <c r="BW175" s="43"/>
      <c r="BX175" s="43"/>
      <c r="BY175" s="43"/>
      <c r="BZ175" s="43"/>
      <c r="CA175" s="43"/>
      <c r="CB175" s="43"/>
      <c r="CC175" s="43"/>
      <c r="CD175" s="43"/>
      <c r="CE175" s="43"/>
    </row>
    <row r="176" spans="1:83" ht="14.25" customHeight="1" x14ac:dyDescent="0.25">
      <c r="A176" s="47"/>
      <c r="B176" s="47"/>
      <c r="C176" s="48"/>
      <c r="D176" s="47"/>
      <c r="E176" s="47"/>
      <c r="F176" s="48"/>
      <c r="G176" s="48"/>
      <c r="H176" s="43"/>
      <c r="I176" s="43"/>
      <c r="J176" s="43"/>
      <c r="K176" s="43"/>
      <c r="L176" s="43"/>
      <c r="M176" s="44"/>
      <c r="N176" s="44"/>
      <c r="O176" s="44"/>
      <c r="P176" s="44"/>
      <c r="Q176" s="44"/>
      <c r="R176" s="44"/>
      <c r="S176" s="44"/>
      <c r="T176" s="45"/>
      <c r="U176" s="45"/>
      <c r="V176" s="45"/>
      <c r="W176" s="45"/>
      <c r="X176" s="45"/>
      <c r="Y176" s="45"/>
      <c r="Z176" s="45"/>
      <c r="AA176" s="45"/>
      <c r="AB176" s="44"/>
      <c r="AC176" s="44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  <c r="AO176" s="43"/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  <c r="BJ176" s="43"/>
      <c r="BK176" s="43"/>
      <c r="BL176" s="43"/>
      <c r="BM176" s="43"/>
      <c r="BN176" s="43"/>
      <c r="BO176" s="43"/>
      <c r="BP176" s="43"/>
      <c r="BQ176" s="43"/>
      <c r="BR176" s="43"/>
      <c r="BS176" s="43"/>
      <c r="BT176" s="43"/>
      <c r="BU176" s="43"/>
      <c r="BV176" s="43"/>
      <c r="BW176" s="43"/>
      <c r="BX176" s="43"/>
      <c r="BY176" s="43"/>
      <c r="BZ176" s="43"/>
      <c r="CA176" s="43"/>
      <c r="CB176" s="43"/>
      <c r="CC176" s="43"/>
      <c r="CD176" s="43"/>
      <c r="CE176" s="43"/>
    </row>
    <row r="177" spans="1:83" ht="14.25" customHeight="1" x14ac:dyDescent="0.25">
      <c r="A177" s="47"/>
      <c r="B177" s="47"/>
      <c r="C177" s="48"/>
      <c r="D177" s="47"/>
      <c r="E177" s="47"/>
      <c r="F177" s="48"/>
      <c r="G177" s="48"/>
      <c r="H177" s="43"/>
      <c r="I177" s="43"/>
      <c r="J177" s="43"/>
      <c r="K177" s="43"/>
      <c r="L177" s="43"/>
      <c r="M177" s="44"/>
      <c r="N177" s="44"/>
      <c r="O177" s="44"/>
      <c r="P177" s="44"/>
      <c r="Q177" s="44"/>
      <c r="R177" s="44"/>
      <c r="S177" s="44"/>
      <c r="T177" s="45"/>
      <c r="U177" s="45"/>
      <c r="V177" s="45"/>
      <c r="W177" s="45"/>
      <c r="X177" s="45"/>
      <c r="Y177" s="45"/>
      <c r="Z177" s="45"/>
      <c r="AA177" s="45"/>
      <c r="AB177" s="44"/>
      <c r="AC177" s="44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  <c r="BJ177" s="43"/>
      <c r="BK177" s="43"/>
      <c r="BL177" s="43"/>
      <c r="BM177" s="43"/>
      <c r="BN177" s="43"/>
      <c r="BO177" s="43"/>
      <c r="BP177" s="43"/>
      <c r="BQ177" s="43"/>
      <c r="BR177" s="43"/>
      <c r="BS177" s="43"/>
      <c r="BT177" s="43"/>
      <c r="BU177" s="43"/>
      <c r="BV177" s="43"/>
      <c r="BW177" s="43"/>
      <c r="BX177" s="43"/>
      <c r="BY177" s="43"/>
      <c r="BZ177" s="43"/>
      <c r="CA177" s="43"/>
      <c r="CB177" s="43"/>
      <c r="CC177" s="43"/>
      <c r="CD177" s="43"/>
      <c r="CE177" s="43"/>
    </row>
    <row r="178" spans="1:83" ht="14.25" customHeight="1" x14ac:dyDescent="0.25">
      <c r="A178" s="47"/>
      <c r="B178" s="47"/>
      <c r="C178" s="48"/>
      <c r="D178" s="48"/>
      <c r="E178" s="48"/>
      <c r="F178" s="48"/>
      <c r="G178" s="48"/>
      <c r="H178" s="43"/>
      <c r="I178" s="43"/>
      <c r="J178" s="43"/>
      <c r="K178" s="43"/>
      <c r="L178" s="43"/>
      <c r="M178" s="44"/>
      <c r="N178" s="44"/>
      <c r="O178" s="44"/>
      <c r="P178" s="44"/>
      <c r="Q178" s="44"/>
      <c r="R178" s="44"/>
      <c r="S178" s="44"/>
      <c r="T178" s="45"/>
      <c r="U178" s="45"/>
      <c r="V178" s="45"/>
      <c r="W178" s="45"/>
      <c r="X178" s="45"/>
      <c r="Y178" s="45"/>
      <c r="Z178" s="45"/>
      <c r="AA178" s="45"/>
      <c r="AB178" s="44"/>
      <c r="AC178" s="44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  <c r="AO178" s="43"/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3"/>
      <c r="BL178" s="43"/>
      <c r="BM178" s="43"/>
      <c r="BN178" s="43"/>
      <c r="BO178" s="43"/>
      <c r="BP178" s="43"/>
      <c r="BQ178" s="43"/>
      <c r="BR178" s="43"/>
      <c r="BS178" s="43"/>
      <c r="BT178" s="43"/>
      <c r="BU178" s="43"/>
      <c r="BV178" s="43"/>
      <c r="BW178" s="43"/>
      <c r="BX178" s="43"/>
      <c r="BY178" s="43"/>
      <c r="BZ178" s="43"/>
      <c r="CA178" s="43"/>
      <c r="CB178" s="43"/>
      <c r="CC178" s="43"/>
      <c r="CD178" s="43"/>
      <c r="CE178" s="43"/>
    </row>
    <row r="179" spans="1:83" ht="14.25" customHeight="1" x14ac:dyDescent="0.25">
      <c r="A179" s="47"/>
      <c r="B179" s="47"/>
      <c r="C179" s="48"/>
      <c r="D179" s="47"/>
      <c r="E179" s="47"/>
      <c r="F179" s="48"/>
      <c r="G179" s="48"/>
      <c r="H179" s="43"/>
      <c r="I179" s="43"/>
      <c r="J179" s="43"/>
      <c r="K179" s="43"/>
      <c r="L179" s="43"/>
      <c r="M179" s="44"/>
      <c r="N179" s="44"/>
      <c r="O179" s="44"/>
      <c r="P179" s="44"/>
      <c r="Q179" s="44"/>
      <c r="R179" s="44"/>
      <c r="S179" s="44"/>
      <c r="T179" s="45"/>
      <c r="U179" s="45"/>
      <c r="V179" s="45"/>
      <c r="W179" s="45"/>
      <c r="X179" s="45"/>
      <c r="Y179" s="45"/>
      <c r="Z179" s="45"/>
      <c r="AA179" s="45"/>
      <c r="AB179" s="44"/>
      <c r="AC179" s="44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  <c r="AO179" s="43"/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  <c r="BJ179" s="43"/>
      <c r="BK179" s="43"/>
      <c r="BL179" s="43"/>
      <c r="BM179" s="43"/>
      <c r="BN179" s="43"/>
      <c r="BO179" s="43"/>
      <c r="BP179" s="43"/>
      <c r="BQ179" s="43"/>
      <c r="BR179" s="43"/>
      <c r="BS179" s="43"/>
      <c r="BT179" s="43"/>
      <c r="BU179" s="43"/>
      <c r="BV179" s="43"/>
      <c r="BW179" s="43"/>
      <c r="BX179" s="43"/>
      <c r="BY179" s="43"/>
      <c r="BZ179" s="43"/>
      <c r="CA179" s="43"/>
      <c r="CB179" s="43"/>
      <c r="CC179" s="43"/>
      <c r="CD179" s="43"/>
      <c r="CE179" s="43"/>
    </row>
    <row r="180" spans="1:83" ht="14.25" customHeight="1" x14ac:dyDescent="0.25">
      <c r="A180" s="47"/>
      <c r="B180" s="47"/>
      <c r="C180" s="48"/>
      <c r="D180" s="47"/>
      <c r="E180" s="47"/>
      <c r="F180" s="48"/>
      <c r="G180" s="48"/>
      <c r="H180" s="43"/>
      <c r="I180" s="43"/>
      <c r="J180" s="43"/>
      <c r="K180" s="43"/>
      <c r="L180" s="43"/>
      <c r="M180" s="44"/>
      <c r="N180" s="44"/>
      <c r="O180" s="44"/>
      <c r="P180" s="44"/>
      <c r="Q180" s="44"/>
      <c r="R180" s="44"/>
      <c r="S180" s="44"/>
      <c r="T180" s="45"/>
      <c r="U180" s="45"/>
      <c r="V180" s="45"/>
      <c r="W180" s="45"/>
      <c r="X180" s="45"/>
      <c r="Y180" s="45"/>
      <c r="Z180" s="45"/>
      <c r="AA180" s="45"/>
      <c r="AB180" s="44"/>
      <c r="AC180" s="44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  <c r="AO180" s="43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  <c r="BJ180" s="43"/>
      <c r="BK180" s="43"/>
      <c r="BL180" s="43"/>
      <c r="BM180" s="43"/>
      <c r="BN180" s="43"/>
      <c r="BO180" s="43"/>
      <c r="BP180" s="43"/>
      <c r="BQ180" s="43"/>
      <c r="BR180" s="43"/>
      <c r="BS180" s="43"/>
      <c r="BT180" s="43"/>
      <c r="BU180" s="43"/>
      <c r="BV180" s="43"/>
      <c r="BW180" s="43"/>
      <c r="BX180" s="43"/>
      <c r="BY180" s="43"/>
      <c r="BZ180" s="43"/>
      <c r="CA180" s="43"/>
      <c r="CB180" s="43"/>
      <c r="CC180" s="43"/>
      <c r="CD180" s="43"/>
      <c r="CE180" s="43"/>
    </row>
    <row r="181" spans="1:83" ht="14.25" customHeight="1" x14ac:dyDescent="0.25">
      <c r="A181" s="47"/>
      <c r="B181" s="47"/>
      <c r="C181" s="48"/>
      <c r="D181" s="48"/>
      <c r="E181" s="48"/>
      <c r="F181" s="48"/>
      <c r="G181" s="48"/>
      <c r="H181" s="43"/>
      <c r="I181" s="43"/>
      <c r="J181" s="43"/>
      <c r="K181" s="43"/>
      <c r="L181" s="43"/>
      <c r="M181" s="44"/>
      <c r="N181" s="44"/>
      <c r="O181" s="44"/>
      <c r="P181" s="44"/>
      <c r="Q181" s="44"/>
      <c r="R181" s="44"/>
      <c r="S181" s="44"/>
      <c r="T181" s="45"/>
      <c r="U181" s="45"/>
      <c r="V181" s="45"/>
      <c r="W181" s="45"/>
      <c r="X181" s="45"/>
      <c r="Y181" s="45"/>
      <c r="Z181" s="45"/>
      <c r="AA181" s="45"/>
      <c r="AB181" s="44"/>
      <c r="AC181" s="44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  <c r="AO181" s="43"/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  <c r="BJ181" s="43"/>
      <c r="BK181" s="43"/>
      <c r="BL181" s="43"/>
      <c r="BM181" s="43"/>
      <c r="BN181" s="43"/>
      <c r="BO181" s="43"/>
      <c r="BP181" s="43"/>
      <c r="BQ181" s="43"/>
      <c r="BR181" s="43"/>
      <c r="BS181" s="43"/>
      <c r="BT181" s="43"/>
      <c r="BU181" s="43"/>
      <c r="BV181" s="43"/>
      <c r="BW181" s="43"/>
      <c r="BX181" s="43"/>
      <c r="BY181" s="43"/>
      <c r="BZ181" s="43"/>
      <c r="CA181" s="43"/>
      <c r="CB181" s="43"/>
      <c r="CC181" s="43"/>
      <c r="CD181" s="43"/>
      <c r="CE181" s="43"/>
    </row>
    <row r="182" spans="1:83" ht="14.25" customHeight="1" x14ac:dyDescent="0.25">
      <c r="A182" s="47"/>
      <c r="B182" s="47"/>
      <c r="C182" s="48"/>
      <c r="D182" s="47"/>
      <c r="E182" s="47"/>
      <c r="F182" s="48"/>
      <c r="G182" s="48"/>
      <c r="H182" s="43"/>
      <c r="I182" s="43"/>
      <c r="J182" s="43"/>
      <c r="K182" s="43"/>
      <c r="L182" s="43"/>
      <c r="M182" s="44"/>
      <c r="N182" s="44"/>
      <c r="O182" s="44"/>
      <c r="P182" s="44"/>
      <c r="Q182" s="44"/>
      <c r="R182" s="44"/>
      <c r="S182" s="44"/>
      <c r="T182" s="45"/>
      <c r="U182" s="45"/>
      <c r="V182" s="45"/>
      <c r="W182" s="45"/>
      <c r="X182" s="45"/>
      <c r="Y182" s="45"/>
      <c r="Z182" s="45"/>
      <c r="AA182" s="45"/>
      <c r="AB182" s="44"/>
      <c r="AC182" s="44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3"/>
      <c r="BL182" s="43"/>
      <c r="BM182" s="43"/>
      <c r="BN182" s="43"/>
      <c r="BO182" s="43"/>
      <c r="BP182" s="43"/>
      <c r="BQ182" s="43"/>
      <c r="BR182" s="43"/>
      <c r="BS182" s="43"/>
      <c r="BT182" s="43"/>
      <c r="BU182" s="43"/>
      <c r="BV182" s="43"/>
      <c r="BW182" s="43"/>
      <c r="BX182" s="43"/>
      <c r="BY182" s="43"/>
      <c r="BZ182" s="43"/>
      <c r="CA182" s="43"/>
      <c r="CB182" s="43"/>
      <c r="CC182" s="43"/>
      <c r="CD182" s="43"/>
      <c r="CE182" s="43"/>
    </row>
    <row r="183" spans="1:83" ht="14.25" customHeight="1" x14ac:dyDescent="0.25">
      <c r="A183" s="47"/>
      <c r="B183" s="47"/>
      <c r="C183" s="48"/>
      <c r="D183" s="47"/>
      <c r="E183" s="47"/>
      <c r="F183" s="48"/>
      <c r="G183" s="48"/>
      <c r="H183" s="43"/>
      <c r="I183" s="43"/>
      <c r="J183" s="43"/>
      <c r="K183" s="43"/>
      <c r="L183" s="43"/>
      <c r="M183" s="44"/>
      <c r="N183" s="44"/>
      <c r="O183" s="44"/>
      <c r="P183" s="44"/>
      <c r="Q183" s="44"/>
      <c r="R183" s="44"/>
      <c r="S183" s="44"/>
      <c r="T183" s="45"/>
      <c r="U183" s="45"/>
      <c r="V183" s="45"/>
      <c r="W183" s="45"/>
      <c r="X183" s="45"/>
      <c r="Y183" s="45"/>
      <c r="Z183" s="45"/>
      <c r="AA183" s="45"/>
      <c r="AB183" s="44"/>
      <c r="AC183" s="44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  <c r="BJ183" s="43"/>
      <c r="BK183" s="43"/>
      <c r="BL183" s="43"/>
      <c r="BM183" s="43"/>
      <c r="BN183" s="43"/>
      <c r="BO183" s="43"/>
      <c r="BP183" s="43"/>
      <c r="BQ183" s="43"/>
      <c r="BR183" s="43"/>
      <c r="BS183" s="43"/>
      <c r="BT183" s="43"/>
      <c r="BU183" s="43"/>
      <c r="BV183" s="43"/>
      <c r="BW183" s="43"/>
      <c r="BX183" s="43"/>
      <c r="BY183" s="43"/>
      <c r="BZ183" s="43"/>
      <c r="CA183" s="43"/>
      <c r="CB183" s="43"/>
      <c r="CC183" s="43"/>
      <c r="CD183" s="43"/>
      <c r="CE183" s="43"/>
    </row>
    <row r="184" spans="1:83" ht="14.25" customHeight="1" x14ac:dyDescent="0.25">
      <c r="A184" s="47"/>
      <c r="B184" s="47"/>
      <c r="C184" s="48"/>
      <c r="D184" s="48"/>
      <c r="E184" s="48"/>
      <c r="F184" s="48"/>
      <c r="G184" s="48"/>
      <c r="H184" s="43"/>
      <c r="I184" s="43"/>
      <c r="J184" s="43"/>
      <c r="K184" s="43"/>
      <c r="L184" s="43"/>
      <c r="M184" s="44"/>
      <c r="N184" s="44"/>
      <c r="O184" s="44"/>
      <c r="P184" s="44"/>
      <c r="Q184" s="44"/>
      <c r="R184" s="44"/>
      <c r="S184" s="44"/>
      <c r="T184" s="45"/>
      <c r="U184" s="45"/>
      <c r="V184" s="45"/>
      <c r="W184" s="45"/>
      <c r="X184" s="45"/>
      <c r="Y184" s="45"/>
      <c r="Z184" s="45"/>
      <c r="AA184" s="45"/>
      <c r="AB184" s="44"/>
      <c r="AC184" s="44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  <c r="BJ184" s="43"/>
      <c r="BK184" s="43"/>
      <c r="BL184" s="43"/>
      <c r="BM184" s="43"/>
      <c r="BN184" s="43"/>
      <c r="BO184" s="43"/>
      <c r="BP184" s="43"/>
      <c r="BQ184" s="43"/>
      <c r="BR184" s="43"/>
      <c r="BS184" s="43"/>
      <c r="BT184" s="43"/>
      <c r="BU184" s="43"/>
      <c r="BV184" s="43"/>
      <c r="BW184" s="43"/>
      <c r="BX184" s="43"/>
      <c r="BY184" s="43"/>
      <c r="BZ184" s="43"/>
      <c r="CA184" s="43"/>
      <c r="CB184" s="43"/>
      <c r="CC184" s="43"/>
      <c r="CD184" s="43"/>
      <c r="CE184" s="43"/>
    </row>
    <row r="185" spans="1:83" ht="14.25" customHeight="1" x14ac:dyDescent="0.25">
      <c r="A185" s="47"/>
      <c r="B185" s="47"/>
      <c r="C185" s="48"/>
      <c r="D185" s="49"/>
      <c r="E185" s="47"/>
      <c r="F185" s="48"/>
      <c r="G185" s="48"/>
      <c r="H185" s="43"/>
      <c r="I185" s="43"/>
      <c r="J185" s="43"/>
      <c r="K185" s="43"/>
      <c r="L185" s="43"/>
      <c r="M185" s="44"/>
      <c r="N185" s="44"/>
      <c r="O185" s="44"/>
      <c r="P185" s="44"/>
      <c r="Q185" s="44"/>
      <c r="R185" s="44"/>
      <c r="S185" s="44"/>
      <c r="T185" s="45"/>
      <c r="U185" s="45"/>
      <c r="V185" s="45"/>
      <c r="W185" s="45"/>
      <c r="X185" s="45"/>
      <c r="Y185" s="45"/>
      <c r="Z185" s="45"/>
      <c r="AA185" s="45"/>
      <c r="AB185" s="44"/>
      <c r="AC185" s="44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  <c r="AO185" s="43"/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  <c r="BJ185" s="43"/>
      <c r="BK185" s="43"/>
      <c r="BL185" s="43"/>
      <c r="BM185" s="43"/>
      <c r="BN185" s="43"/>
      <c r="BO185" s="43"/>
      <c r="BP185" s="43"/>
      <c r="BQ185" s="43"/>
      <c r="BR185" s="43"/>
      <c r="BS185" s="43"/>
      <c r="BT185" s="43"/>
      <c r="BU185" s="43"/>
      <c r="BV185" s="43"/>
      <c r="BW185" s="43"/>
      <c r="BX185" s="43"/>
      <c r="BY185" s="43"/>
      <c r="BZ185" s="43"/>
      <c r="CA185" s="43"/>
      <c r="CB185" s="43"/>
      <c r="CC185" s="43"/>
      <c r="CD185" s="43"/>
      <c r="CE185" s="43"/>
    </row>
    <row r="186" spans="1:83" ht="14.25" customHeight="1" x14ac:dyDescent="0.25">
      <c r="A186" s="47"/>
      <c r="B186" s="47"/>
      <c r="C186" s="48"/>
      <c r="D186" s="49"/>
      <c r="E186" s="47"/>
      <c r="F186" s="48"/>
      <c r="G186" s="48"/>
      <c r="H186" s="43"/>
      <c r="I186" s="43"/>
      <c r="J186" s="43"/>
      <c r="K186" s="43"/>
      <c r="L186" s="43"/>
      <c r="M186" s="44"/>
      <c r="N186" s="44"/>
      <c r="O186" s="44"/>
      <c r="P186" s="44"/>
      <c r="Q186" s="44"/>
      <c r="R186" s="44"/>
      <c r="S186" s="44"/>
      <c r="T186" s="45"/>
      <c r="U186" s="45"/>
      <c r="V186" s="45"/>
      <c r="W186" s="45"/>
      <c r="X186" s="45"/>
      <c r="Y186" s="45"/>
      <c r="Z186" s="45"/>
      <c r="AA186" s="45"/>
      <c r="AB186" s="44"/>
      <c r="AC186" s="44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  <c r="BJ186" s="43"/>
      <c r="BK186" s="43"/>
      <c r="BL186" s="43"/>
      <c r="BM186" s="43"/>
      <c r="BN186" s="43"/>
      <c r="BO186" s="43"/>
      <c r="BP186" s="43"/>
      <c r="BQ186" s="43"/>
      <c r="BR186" s="43"/>
      <c r="BS186" s="43"/>
      <c r="BT186" s="43"/>
      <c r="BU186" s="43"/>
      <c r="BV186" s="43"/>
      <c r="BW186" s="43"/>
      <c r="BX186" s="43"/>
      <c r="BY186" s="43"/>
      <c r="BZ186" s="43"/>
      <c r="CA186" s="43"/>
      <c r="CB186" s="43"/>
      <c r="CC186" s="43"/>
      <c r="CD186" s="43"/>
      <c r="CE186" s="43"/>
    </row>
    <row r="187" spans="1:83" ht="14.25" customHeight="1" x14ac:dyDescent="0.25">
      <c r="A187" s="47"/>
      <c r="B187" s="47"/>
      <c r="C187" s="48"/>
      <c r="D187" s="48"/>
      <c r="E187" s="48"/>
      <c r="F187" s="48"/>
      <c r="G187" s="48"/>
      <c r="H187" s="43"/>
      <c r="I187" s="43"/>
      <c r="J187" s="43"/>
      <c r="K187" s="43"/>
      <c r="L187" s="43"/>
      <c r="M187" s="44"/>
      <c r="N187" s="44"/>
      <c r="O187" s="44"/>
      <c r="P187" s="44"/>
      <c r="Q187" s="44"/>
      <c r="R187" s="44"/>
      <c r="S187" s="44"/>
      <c r="T187" s="45"/>
      <c r="U187" s="45"/>
      <c r="V187" s="45"/>
      <c r="W187" s="45"/>
      <c r="X187" s="45"/>
      <c r="Y187" s="45"/>
      <c r="Z187" s="45"/>
      <c r="AA187" s="45"/>
      <c r="AB187" s="44"/>
      <c r="AC187" s="44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  <c r="BJ187" s="43"/>
      <c r="BK187" s="43"/>
      <c r="BL187" s="43"/>
      <c r="BM187" s="43"/>
      <c r="BN187" s="43"/>
      <c r="BO187" s="43"/>
      <c r="BP187" s="43"/>
      <c r="BQ187" s="43"/>
      <c r="BR187" s="43"/>
      <c r="BS187" s="43"/>
      <c r="BT187" s="43"/>
      <c r="BU187" s="43"/>
      <c r="BV187" s="43"/>
      <c r="BW187" s="43"/>
      <c r="BX187" s="43"/>
      <c r="BY187" s="43"/>
      <c r="BZ187" s="43"/>
      <c r="CA187" s="43"/>
      <c r="CB187" s="43"/>
      <c r="CC187" s="43"/>
      <c r="CD187" s="43"/>
      <c r="CE187" s="43"/>
    </row>
    <row r="188" spans="1:83" ht="14.25" customHeight="1" x14ac:dyDescent="0.25">
      <c r="A188" s="47"/>
      <c r="B188" s="47"/>
      <c r="C188" s="48"/>
      <c r="D188" s="49"/>
      <c r="E188" s="47"/>
      <c r="F188" s="48"/>
      <c r="G188" s="48"/>
      <c r="H188" s="43"/>
      <c r="I188" s="43"/>
      <c r="J188" s="43"/>
      <c r="K188" s="43"/>
      <c r="L188" s="43"/>
      <c r="M188" s="44"/>
      <c r="N188" s="44"/>
      <c r="O188" s="44"/>
      <c r="P188" s="44"/>
      <c r="Q188" s="44"/>
      <c r="R188" s="44"/>
      <c r="S188" s="44"/>
      <c r="T188" s="45"/>
      <c r="U188" s="45"/>
      <c r="V188" s="45"/>
      <c r="W188" s="45"/>
      <c r="X188" s="45"/>
      <c r="Y188" s="45"/>
      <c r="Z188" s="45"/>
      <c r="AA188" s="45"/>
      <c r="AB188" s="44"/>
      <c r="AC188" s="44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  <c r="BJ188" s="43"/>
      <c r="BK188" s="43"/>
      <c r="BL188" s="43"/>
      <c r="BM188" s="43"/>
      <c r="BN188" s="43"/>
      <c r="BO188" s="43"/>
      <c r="BP188" s="43"/>
      <c r="BQ188" s="43"/>
      <c r="BR188" s="43"/>
      <c r="BS188" s="43"/>
      <c r="BT188" s="43"/>
      <c r="BU188" s="43"/>
      <c r="BV188" s="43"/>
      <c r="BW188" s="43"/>
      <c r="BX188" s="43"/>
      <c r="BY188" s="43"/>
      <c r="BZ188" s="43"/>
      <c r="CA188" s="43"/>
      <c r="CB188" s="43"/>
      <c r="CC188" s="43"/>
      <c r="CD188" s="43"/>
      <c r="CE188" s="43"/>
    </row>
    <row r="189" spans="1:83" ht="14.25" customHeight="1" x14ac:dyDescent="0.25">
      <c r="A189" s="47"/>
      <c r="B189" s="47"/>
      <c r="C189" s="48"/>
      <c r="D189" s="49"/>
      <c r="E189" s="47"/>
      <c r="F189" s="48"/>
      <c r="G189" s="48"/>
      <c r="H189" s="43"/>
      <c r="I189" s="43"/>
      <c r="J189" s="43"/>
      <c r="K189" s="43"/>
      <c r="L189" s="43"/>
      <c r="M189" s="44"/>
      <c r="N189" s="44"/>
      <c r="O189" s="44"/>
      <c r="P189" s="44"/>
      <c r="Q189" s="44"/>
      <c r="R189" s="44"/>
      <c r="S189" s="44"/>
      <c r="T189" s="45"/>
      <c r="U189" s="45"/>
      <c r="V189" s="45"/>
      <c r="W189" s="45"/>
      <c r="X189" s="45"/>
      <c r="Y189" s="45"/>
      <c r="Z189" s="45"/>
      <c r="AA189" s="45"/>
      <c r="AB189" s="44"/>
      <c r="AC189" s="44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  <c r="BJ189" s="43"/>
      <c r="BK189" s="43"/>
      <c r="BL189" s="43"/>
      <c r="BM189" s="43"/>
      <c r="BN189" s="43"/>
      <c r="BO189" s="43"/>
      <c r="BP189" s="43"/>
      <c r="BQ189" s="43"/>
      <c r="BR189" s="43"/>
      <c r="BS189" s="43"/>
      <c r="BT189" s="43"/>
      <c r="BU189" s="43"/>
      <c r="BV189" s="43"/>
      <c r="BW189" s="43"/>
      <c r="BX189" s="43"/>
      <c r="BY189" s="43"/>
      <c r="BZ189" s="43"/>
      <c r="CA189" s="43"/>
      <c r="CB189" s="43"/>
      <c r="CC189" s="43"/>
      <c r="CD189" s="43"/>
      <c r="CE189" s="43"/>
    </row>
    <row r="190" spans="1:83" ht="14.25" customHeight="1" x14ac:dyDescent="0.25">
      <c r="A190" s="14"/>
      <c r="B190" s="14"/>
      <c r="C190" s="29"/>
      <c r="D190" s="29"/>
      <c r="E190" s="29"/>
      <c r="F190" s="29"/>
      <c r="G190" s="29"/>
      <c r="H190" s="50"/>
      <c r="I190" s="50"/>
      <c r="J190" s="50"/>
      <c r="K190" s="50"/>
      <c r="L190" s="50"/>
      <c r="M190" s="51"/>
      <c r="N190" s="51"/>
      <c r="O190" s="51"/>
      <c r="P190" s="51"/>
      <c r="Q190" s="51"/>
      <c r="R190" s="51"/>
      <c r="S190" s="51"/>
      <c r="T190" s="52"/>
      <c r="U190" s="52"/>
      <c r="V190" s="52"/>
      <c r="W190" s="52"/>
      <c r="X190" s="52"/>
      <c r="Y190" s="52"/>
      <c r="Z190" s="52"/>
      <c r="AA190" s="52"/>
      <c r="AB190" s="51"/>
      <c r="AC190" s="51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</row>
    <row r="191" spans="1:83" ht="14.25" customHeight="1" x14ac:dyDescent="0.25">
      <c r="A191" s="14"/>
      <c r="B191" s="14"/>
      <c r="C191" s="29"/>
      <c r="D191" s="14"/>
      <c r="E191" s="14"/>
      <c r="F191" s="29"/>
      <c r="G191" s="29"/>
      <c r="H191" s="50"/>
      <c r="I191" s="50"/>
      <c r="J191" s="50"/>
      <c r="K191" s="50"/>
      <c r="L191" s="50"/>
      <c r="M191" s="51"/>
      <c r="N191" s="51"/>
      <c r="O191" s="51"/>
      <c r="P191" s="51"/>
      <c r="Q191" s="51"/>
      <c r="R191" s="51"/>
      <c r="S191" s="51"/>
      <c r="T191" s="52"/>
      <c r="U191" s="52"/>
      <c r="V191" s="52"/>
      <c r="W191" s="52"/>
      <c r="X191" s="52"/>
      <c r="Y191" s="52"/>
      <c r="Z191" s="52"/>
      <c r="AA191" s="52"/>
      <c r="AB191" s="51"/>
      <c r="AC191" s="51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</row>
    <row r="192" spans="1:83" ht="14.25" customHeight="1" x14ac:dyDescent="0.25">
      <c r="A192" s="14"/>
      <c r="B192" s="14"/>
      <c r="C192" s="29"/>
      <c r="D192" s="14"/>
      <c r="E192" s="14"/>
      <c r="F192" s="29"/>
      <c r="G192" s="29"/>
      <c r="H192" s="50"/>
      <c r="I192" s="50"/>
      <c r="J192" s="50"/>
      <c r="K192" s="50"/>
      <c r="L192" s="50"/>
      <c r="M192" s="51"/>
      <c r="N192" s="51"/>
      <c r="O192" s="51"/>
      <c r="P192" s="51"/>
      <c r="Q192" s="51"/>
      <c r="R192" s="51"/>
      <c r="S192" s="51"/>
      <c r="T192" s="52"/>
      <c r="U192" s="52"/>
      <c r="V192" s="52"/>
      <c r="W192" s="52"/>
      <c r="X192" s="52"/>
      <c r="Y192" s="52"/>
      <c r="Z192" s="52"/>
      <c r="AA192" s="52"/>
      <c r="AB192" s="51"/>
      <c r="AC192" s="51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</row>
    <row r="193" spans="1:83" ht="14.25" customHeight="1" x14ac:dyDescent="0.25">
      <c r="A193" s="14"/>
      <c r="B193" s="14"/>
      <c r="C193" s="29"/>
      <c r="D193" s="14"/>
      <c r="E193" s="14"/>
      <c r="F193" s="29"/>
      <c r="G193" s="29"/>
      <c r="H193" s="50"/>
      <c r="I193" s="50"/>
      <c r="J193" s="50"/>
      <c r="K193" s="50"/>
      <c r="L193" s="50"/>
      <c r="M193" s="51"/>
      <c r="N193" s="51"/>
      <c r="O193" s="51"/>
      <c r="P193" s="51"/>
      <c r="Q193" s="51"/>
      <c r="R193" s="51"/>
      <c r="S193" s="51"/>
      <c r="T193" s="52"/>
      <c r="U193" s="52"/>
      <c r="V193" s="52"/>
      <c r="W193" s="52"/>
      <c r="X193" s="52"/>
      <c r="Y193" s="52"/>
      <c r="Z193" s="52"/>
      <c r="AA193" s="52"/>
      <c r="AB193" s="51"/>
      <c r="AC193" s="51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</row>
    <row r="194" spans="1:83" ht="14.25" customHeight="1" x14ac:dyDescent="0.25">
      <c r="A194" s="14"/>
      <c r="B194" s="14"/>
      <c r="C194" s="29"/>
      <c r="D194" s="29"/>
      <c r="E194" s="14"/>
      <c r="F194" s="29"/>
      <c r="G194" s="29"/>
      <c r="H194" s="50"/>
      <c r="I194" s="50"/>
      <c r="J194" s="50"/>
      <c r="K194" s="50"/>
      <c r="L194" s="50"/>
      <c r="M194" s="51"/>
      <c r="N194" s="51"/>
      <c r="O194" s="51"/>
      <c r="P194" s="51"/>
      <c r="Q194" s="51"/>
      <c r="R194" s="51"/>
      <c r="S194" s="51"/>
      <c r="T194" s="52"/>
      <c r="U194" s="52"/>
      <c r="V194" s="52"/>
      <c r="W194" s="52"/>
      <c r="X194" s="52"/>
      <c r="Y194" s="52"/>
      <c r="Z194" s="52"/>
      <c r="AA194" s="52"/>
      <c r="AB194" s="51"/>
      <c r="AC194" s="51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</row>
    <row r="195" spans="1:83" ht="14.25" customHeight="1" x14ac:dyDescent="0.25">
      <c r="A195" s="14"/>
      <c r="B195" s="14"/>
      <c r="C195" s="29"/>
      <c r="D195" s="29"/>
      <c r="E195" s="14"/>
      <c r="F195" s="14"/>
      <c r="G195" s="14"/>
      <c r="H195" s="50"/>
      <c r="I195" s="50"/>
      <c r="J195" s="50"/>
      <c r="K195" s="50"/>
      <c r="L195" s="50"/>
      <c r="M195" s="51"/>
      <c r="N195" s="51"/>
      <c r="O195" s="51"/>
      <c r="P195" s="51"/>
      <c r="Q195" s="51"/>
      <c r="R195" s="51"/>
      <c r="S195" s="51"/>
      <c r="T195" s="52"/>
      <c r="U195" s="52"/>
      <c r="V195" s="52"/>
      <c r="W195" s="52"/>
      <c r="X195" s="52"/>
      <c r="Y195" s="52"/>
      <c r="Z195" s="52"/>
      <c r="AA195" s="52"/>
      <c r="AB195" s="51"/>
      <c r="AC195" s="51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</row>
    <row r="196" spans="1:83" ht="14.25" customHeight="1" x14ac:dyDescent="0.25">
      <c r="A196" s="14"/>
      <c r="B196" s="14"/>
      <c r="C196" s="29"/>
      <c r="D196" s="46"/>
      <c r="E196" s="14"/>
      <c r="F196" s="46"/>
      <c r="G196" s="46"/>
      <c r="H196" s="50"/>
      <c r="I196" s="50"/>
      <c r="J196" s="50"/>
      <c r="K196" s="50"/>
      <c r="L196" s="50"/>
      <c r="M196" s="51"/>
      <c r="N196" s="51"/>
      <c r="O196" s="51"/>
      <c r="P196" s="51"/>
      <c r="Q196" s="51"/>
      <c r="R196" s="51"/>
      <c r="S196" s="51"/>
      <c r="T196" s="52"/>
      <c r="U196" s="52"/>
      <c r="V196" s="52"/>
      <c r="W196" s="52"/>
      <c r="X196" s="52"/>
      <c r="Y196" s="52"/>
      <c r="Z196" s="52"/>
      <c r="AA196" s="52"/>
      <c r="AB196" s="51"/>
      <c r="AC196" s="51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</row>
    <row r="197" spans="1:83" ht="14.25" customHeight="1" x14ac:dyDescent="0.25">
      <c r="A197" s="14"/>
      <c r="B197" s="14"/>
      <c r="C197" s="46"/>
      <c r="D197" s="46"/>
      <c r="E197" s="46"/>
      <c r="F197" s="46"/>
      <c r="G197" s="46"/>
      <c r="H197" s="50"/>
      <c r="I197" s="50"/>
      <c r="J197" s="50"/>
      <c r="K197" s="50"/>
      <c r="L197" s="50"/>
      <c r="M197" s="51"/>
      <c r="N197" s="51"/>
      <c r="O197" s="51"/>
      <c r="P197" s="51"/>
      <c r="Q197" s="51"/>
      <c r="R197" s="51"/>
      <c r="S197" s="51"/>
      <c r="T197" s="52"/>
      <c r="U197" s="52"/>
      <c r="V197" s="52"/>
      <c r="W197" s="52"/>
      <c r="X197" s="52"/>
      <c r="Y197" s="52"/>
      <c r="Z197" s="52"/>
      <c r="AA197" s="52"/>
      <c r="AB197" s="51"/>
      <c r="AC197" s="51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</row>
    <row r="198" spans="1:83" ht="14.25" customHeight="1" x14ac:dyDescent="0.25">
      <c r="A198" s="14"/>
      <c r="B198" s="14"/>
      <c r="C198" s="46"/>
      <c r="D198" s="46"/>
      <c r="E198" s="46"/>
      <c r="F198" s="46"/>
      <c r="G198" s="46"/>
      <c r="H198" s="50"/>
      <c r="I198" s="50"/>
      <c r="J198" s="50"/>
      <c r="K198" s="50"/>
      <c r="L198" s="50"/>
      <c r="M198" s="51"/>
      <c r="N198" s="51"/>
      <c r="O198" s="51"/>
      <c r="P198" s="51"/>
      <c r="Q198" s="51"/>
      <c r="R198" s="51"/>
      <c r="S198" s="51"/>
      <c r="T198" s="52"/>
      <c r="U198" s="52"/>
      <c r="V198" s="52"/>
      <c r="W198" s="52"/>
      <c r="X198" s="52"/>
      <c r="Y198" s="52"/>
      <c r="Z198" s="52"/>
      <c r="AA198" s="52"/>
      <c r="AB198" s="51"/>
      <c r="AC198" s="51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</row>
    <row r="199" spans="1:83" ht="14.25" customHeight="1" x14ac:dyDescent="0.25">
      <c r="A199" s="14"/>
      <c r="B199" s="14"/>
      <c r="C199" s="46"/>
      <c r="D199" s="46"/>
      <c r="E199" s="46"/>
      <c r="F199" s="46"/>
      <c r="G199" s="46"/>
      <c r="H199" s="50"/>
      <c r="I199" s="50"/>
      <c r="J199" s="50"/>
      <c r="K199" s="50"/>
      <c r="L199" s="50"/>
      <c r="M199" s="51"/>
      <c r="N199" s="51"/>
      <c r="O199" s="51"/>
      <c r="P199" s="51"/>
      <c r="Q199" s="51"/>
      <c r="R199" s="51"/>
      <c r="S199" s="51"/>
      <c r="T199" s="52"/>
      <c r="U199" s="52"/>
      <c r="V199" s="52"/>
      <c r="W199" s="52"/>
      <c r="X199" s="52"/>
      <c r="Y199" s="52"/>
      <c r="Z199" s="52"/>
      <c r="AA199" s="52"/>
      <c r="AB199" s="51"/>
      <c r="AC199" s="51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</row>
    <row r="200" spans="1:83" ht="14.25" customHeight="1" x14ac:dyDescent="0.25">
      <c r="A200" s="14"/>
      <c r="B200" s="14"/>
      <c r="C200" s="46"/>
      <c r="D200" s="46"/>
      <c r="E200" s="46"/>
      <c r="F200" s="46"/>
      <c r="G200" s="46"/>
      <c r="H200" s="50"/>
      <c r="I200" s="50"/>
      <c r="J200" s="50"/>
      <c r="K200" s="50"/>
      <c r="L200" s="50"/>
      <c r="M200" s="51"/>
      <c r="N200" s="51"/>
      <c r="O200" s="51"/>
      <c r="P200" s="51"/>
      <c r="Q200" s="51"/>
      <c r="R200" s="51"/>
      <c r="S200" s="51"/>
      <c r="T200" s="52"/>
      <c r="U200" s="52"/>
      <c r="V200" s="52"/>
      <c r="W200" s="52"/>
      <c r="X200" s="52"/>
      <c r="Y200" s="52"/>
      <c r="Z200" s="52"/>
      <c r="AA200" s="52"/>
      <c r="AB200" s="51"/>
      <c r="AC200" s="51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</row>
    <row r="201" spans="1:83" ht="14.25" customHeight="1" x14ac:dyDescent="0.25">
      <c r="A201" s="14"/>
      <c r="B201" s="14"/>
      <c r="C201" s="46"/>
      <c r="D201" s="46"/>
      <c r="E201" s="46"/>
      <c r="F201" s="46"/>
      <c r="G201" s="46"/>
      <c r="H201" s="50"/>
      <c r="I201" s="50"/>
      <c r="J201" s="50"/>
      <c r="K201" s="50"/>
      <c r="L201" s="50"/>
      <c r="M201" s="51"/>
      <c r="N201" s="51"/>
      <c r="O201" s="51"/>
      <c r="P201" s="51"/>
      <c r="Q201" s="51"/>
      <c r="R201" s="51"/>
      <c r="S201" s="51"/>
      <c r="T201" s="52"/>
      <c r="U201" s="52"/>
      <c r="V201" s="52"/>
      <c r="W201" s="52"/>
      <c r="X201" s="52"/>
      <c r="Y201" s="52"/>
      <c r="Z201" s="52"/>
      <c r="AA201" s="52"/>
      <c r="AB201" s="51"/>
      <c r="AC201" s="51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</row>
    <row r="202" spans="1:83" ht="14.25" customHeight="1" x14ac:dyDescent="0.25">
      <c r="A202" s="14"/>
      <c r="B202" s="14"/>
      <c r="C202" s="46"/>
      <c r="D202" s="46"/>
      <c r="E202" s="46"/>
      <c r="F202" s="46"/>
      <c r="G202" s="46"/>
      <c r="H202" s="50"/>
      <c r="I202" s="50"/>
      <c r="J202" s="50"/>
      <c r="K202" s="50"/>
      <c r="L202" s="50"/>
      <c r="M202" s="51"/>
      <c r="N202" s="51"/>
      <c r="O202" s="51"/>
      <c r="P202" s="51"/>
      <c r="Q202" s="51"/>
      <c r="R202" s="51"/>
      <c r="S202" s="51"/>
      <c r="T202" s="52"/>
      <c r="U202" s="52"/>
      <c r="V202" s="52"/>
      <c r="W202" s="52"/>
      <c r="X202" s="52"/>
      <c r="Y202" s="52"/>
      <c r="Z202" s="52"/>
      <c r="AA202" s="52"/>
      <c r="AB202" s="51"/>
      <c r="AC202" s="51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</row>
    <row r="203" spans="1:83" ht="14.25" customHeight="1" x14ac:dyDescent="0.25">
      <c r="A203" s="14"/>
      <c r="B203" s="14"/>
      <c r="C203" s="46"/>
      <c r="D203" s="46"/>
      <c r="E203" s="46"/>
      <c r="F203" s="46"/>
      <c r="G203" s="46"/>
      <c r="H203" s="50"/>
      <c r="I203" s="50"/>
      <c r="J203" s="50"/>
      <c r="K203" s="50"/>
      <c r="L203" s="50"/>
      <c r="M203" s="51"/>
      <c r="N203" s="51"/>
      <c r="O203" s="51"/>
      <c r="P203" s="51"/>
      <c r="Q203" s="51"/>
      <c r="R203" s="51"/>
      <c r="S203" s="51"/>
      <c r="T203" s="52"/>
      <c r="U203" s="52"/>
      <c r="V203" s="52"/>
      <c r="W203" s="52"/>
      <c r="X203" s="52"/>
      <c r="Y203" s="52"/>
      <c r="Z203" s="52"/>
      <c r="AA203" s="52"/>
      <c r="AB203" s="51"/>
      <c r="AC203" s="51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</row>
    <row r="204" spans="1:83" ht="14.25" customHeight="1" x14ac:dyDescent="0.25">
      <c r="A204" s="14"/>
      <c r="B204" s="14"/>
      <c r="C204" s="29"/>
      <c r="D204" s="29"/>
      <c r="E204" s="46"/>
      <c r="F204" s="46"/>
      <c r="G204" s="46"/>
      <c r="H204" s="50"/>
      <c r="I204" s="50"/>
      <c r="J204" s="50"/>
      <c r="K204" s="50"/>
      <c r="L204" s="50"/>
      <c r="M204" s="51"/>
      <c r="N204" s="51"/>
      <c r="O204" s="51"/>
      <c r="P204" s="51"/>
      <c r="Q204" s="51"/>
      <c r="R204" s="51"/>
      <c r="S204" s="51"/>
      <c r="T204" s="52"/>
      <c r="U204" s="52"/>
      <c r="V204" s="52"/>
      <c r="W204" s="52"/>
      <c r="X204" s="52"/>
      <c r="Y204" s="52"/>
      <c r="Z204" s="52"/>
      <c r="AA204" s="52"/>
      <c r="AB204" s="51"/>
      <c r="AC204" s="51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</row>
    <row r="205" spans="1:83" ht="14.25" customHeight="1" x14ac:dyDescent="0.25">
      <c r="A205" s="14"/>
      <c r="B205" s="14"/>
      <c r="C205" s="29"/>
      <c r="D205" s="29"/>
      <c r="E205" s="29"/>
      <c r="F205" s="46"/>
      <c r="G205" s="46"/>
      <c r="H205" s="50"/>
      <c r="I205" s="50"/>
      <c r="J205" s="50"/>
      <c r="K205" s="50"/>
      <c r="L205" s="50"/>
      <c r="M205" s="51"/>
      <c r="N205" s="51"/>
      <c r="O205" s="51"/>
      <c r="P205" s="51"/>
      <c r="Q205" s="51"/>
      <c r="R205" s="51"/>
      <c r="S205" s="51"/>
      <c r="T205" s="52"/>
      <c r="U205" s="52"/>
      <c r="V205" s="52"/>
      <c r="W205" s="52"/>
      <c r="X205" s="52"/>
      <c r="Y205" s="52"/>
      <c r="Z205" s="52"/>
      <c r="AA205" s="52"/>
      <c r="AB205" s="51"/>
      <c r="AC205" s="51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</row>
    <row r="206" spans="1:83" ht="14.25" customHeight="1" x14ac:dyDescent="0.25">
      <c r="A206" s="14"/>
      <c r="B206" s="14"/>
      <c r="C206" s="29"/>
      <c r="D206" s="29"/>
      <c r="E206" s="29"/>
      <c r="F206" s="46"/>
      <c r="G206" s="46"/>
      <c r="H206" s="50"/>
      <c r="I206" s="50"/>
      <c r="J206" s="50"/>
      <c r="K206" s="50"/>
      <c r="L206" s="50"/>
      <c r="M206" s="51"/>
      <c r="N206" s="51"/>
      <c r="O206" s="51"/>
      <c r="P206" s="51"/>
      <c r="Q206" s="51"/>
      <c r="R206" s="51"/>
      <c r="S206" s="51"/>
      <c r="T206" s="52"/>
      <c r="U206" s="52"/>
      <c r="V206" s="52"/>
      <c r="W206" s="52"/>
      <c r="X206" s="52"/>
      <c r="Y206" s="52"/>
      <c r="Z206" s="52"/>
      <c r="AA206" s="52"/>
      <c r="AB206" s="51"/>
      <c r="AC206" s="51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</row>
    <row r="207" spans="1:83" ht="14.25" customHeight="1" x14ac:dyDescent="0.25">
      <c r="A207" s="14"/>
      <c r="B207" s="14"/>
      <c r="C207" s="29"/>
      <c r="D207" s="29"/>
      <c r="E207" s="29"/>
      <c r="F207" s="46"/>
      <c r="G207" s="46"/>
      <c r="H207" s="50"/>
      <c r="I207" s="50"/>
      <c r="J207" s="50"/>
      <c r="K207" s="50"/>
      <c r="L207" s="50"/>
      <c r="M207" s="51"/>
      <c r="N207" s="51"/>
      <c r="O207" s="51"/>
      <c r="P207" s="51"/>
      <c r="Q207" s="51"/>
      <c r="R207" s="51"/>
      <c r="S207" s="51"/>
      <c r="T207" s="52"/>
      <c r="U207" s="52"/>
      <c r="V207" s="52"/>
      <c r="W207" s="52"/>
      <c r="X207" s="52"/>
      <c r="Y207" s="52"/>
      <c r="Z207" s="52"/>
      <c r="AA207" s="52"/>
      <c r="AB207" s="51"/>
      <c r="AC207" s="51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</row>
    <row r="208" spans="1:83" ht="14.25" customHeight="1" x14ac:dyDescent="0.25">
      <c r="A208" s="14"/>
      <c r="B208" s="14"/>
      <c r="C208" s="29"/>
      <c r="D208" s="29"/>
      <c r="E208" s="29"/>
      <c r="F208" s="46"/>
      <c r="G208" s="46"/>
      <c r="H208" s="50"/>
      <c r="I208" s="50"/>
      <c r="J208" s="50"/>
      <c r="K208" s="50"/>
      <c r="L208" s="50"/>
      <c r="M208" s="51"/>
      <c r="N208" s="51"/>
      <c r="O208" s="51"/>
      <c r="P208" s="51"/>
      <c r="Q208" s="51"/>
      <c r="R208" s="51"/>
      <c r="S208" s="51"/>
      <c r="T208" s="52"/>
      <c r="U208" s="52"/>
      <c r="V208" s="52"/>
      <c r="W208" s="52"/>
      <c r="X208" s="52"/>
      <c r="Y208" s="52"/>
      <c r="Z208" s="52"/>
      <c r="AA208" s="52"/>
      <c r="AB208" s="51"/>
      <c r="AC208" s="51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</row>
    <row r="209" spans="1:83" ht="14.25" customHeight="1" x14ac:dyDescent="0.25">
      <c r="A209" s="14"/>
      <c r="B209" s="14"/>
      <c r="C209" s="29"/>
      <c r="D209" s="14"/>
      <c r="E209" s="14"/>
      <c r="F209" s="14"/>
      <c r="G209" s="14"/>
      <c r="H209" s="50"/>
      <c r="I209" s="50"/>
      <c r="J209" s="50"/>
      <c r="K209" s="50"/>
      <c r="L209" s="50"/>
      <c r="M209" s="51"/>
      <c r="N209" s="51"/>
      <c r="O209" s="51"/>
      <c r="P209" s="51"/>
      <c r="Q209" s="51"/>
      <c r="R209" s="51"/>
      <c r="S209" s="51"/>
      <c r="T209" s="52"/>
      <c r="U209" s="52"/>
      <c r="V209" s="52"/>
      <c r="W209" s="52"/>
      <c r="X209" s="52"/>
      <c r="Y209" s="52"/>
      <c r="Z209" s="52"/>
      <c r="AA209" s="52"/>
      <c r="AB209" s="51"/>
      <c r="AC209" s="51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</row>
    <row r="210" spans="1:83" ht="14.25" customHeight="1" x14ac:dyDescent="0.25">
      <c r="A210" s="14"/>
      <c r="B210" s="14"/>
      <c r="C210" s="14"/>
      <c r="D210" s="14"/>
      <c r="E210" s="14"/>
      <c r="F210" s="14"/>
      <c r="G210" s="14"/>
      <c r="H210" s="50"/>
      <c r="I210" s="50"/>
      <c r="J210" s="50"/>
      <c r="K210" s="50"/>
      <c r="L210" s="50"/>
      <c r="M210" s="51"/>
      <c r="N210" s="51"/>
      <c r="O210" s="51"/>
      <c r="P210" s="51"/>
      <c r="Q210" s="51"/>
      <c r="R210" s="51"/>
      <c r="S210" s="51"/>
      <c r="T210" s="52"/>
      <c r="U210" s="52"/>
      <c r="V210" s="52"/>
      <c r="W210" s="52"/>
      <c r="X210" s="52"/>
      <c r="Y210" s="52"/>
      <c r="Z210" s="52"/>
      <c r="AA210" s="52"/>
      <c r="AB210" s="51"/>
      <c r="AC210" s="51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</row>
    <row r="211" spans="1:83" ht="14.25" customHeight="1" x14ac:dyDescent="0.25">
      <c r="A211" s="14"/>
      <c r="B211" s="14"/>
      <c r="C211" s="14"/>
      <c r="D211" s="14"/>
      <c r="E211" s="14"/>
      <c r="F211" s="14"/>
      <c r="G211" s="14"/>
      <c r="H211" s="50"/>
      <c r="I211" s="50"/>
      <c r="J211" s="50"/>
      <c r="K211" s="50"/>
      <c r="L211" s="50"/>
      <c r="M211" s="51"/>
      <c r="N211" s="51"/>
      <c r="O211" s="51"/>
      <c r="P211" s="51"/>
      <c r="Q211" s="51"/>
      <c r="R211" s="51"/>
      <c r="S211" s="51"/>
      <c r="T211" s="52"/>
      <c r="U211" s="52"/>
      <c r="V211" s="52"/>
      <c r="W211" s="52"/>
      <c r="X211" s="52"/>
      <c r="Y211" s="52"/>
      <c r="Z211" s="52"/>
      <c r="AA211" s="52"/>
      <c r="AB211" s="51"/>
      <c r="AC211" s="51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</row>
    <row r="212" spans="1:83" ht="14.25" customHeight="1" x14ac:dyDescent="0.25">
      <c r="A212" s="14"/>
      <c r="B212" s="14"/>
      <c r="C212" s="14"/>
      <c r="D212" s="14"/>
      <c r="E212" s="14"/>
      <c r="F212" s="14"/>
      <c r="G212" s="14"/>
      <c r="H212" s="50"/>
      <c r="I212" s="50"/>
      <c r="J212" s="50"/>
      <c r="K212" s="50"/>
      <c r="L212" s="50"/>
      <c r="M212" s="51"/>
      <c r="N212" s="51"/>
      <c r="O212" s="51"/>
      <c r="P212" s="51"/>
      <c r="Q212" s="51"/>
      <c r="R212" s="51"/>
      <c r="S212" s="51"/>
      <c r="T212" s="52"/>
      <c r="U212" s="52"/>
      <c r="V212" s="52"/>
      <c r="W212" s="52"/>
      <c r="X212" s="52"/>
      <c r="Y212" s="52"/>
      <c r="Z212" s="52"/>
      <c r="AA212" s="52"/>
      <c r="AB212" s="51"/>
      <c r="AC212" s="51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</row>
    <row r="213" spans="1:83" ht="14.25" customHeight="1" x14ac:dyDescent="0.25">
      <c r="A213" s="14"/>
      <c r="B213" s="14"/>
      <c r="C213" s="14"/>
      <c r="D213" s="14"/>
      <c r="E213" s="14"/>
      <c r="F213" s="14"/>
      <c r="G213" s="14"/>
      <c r="H213" s="50"/>
      <c r="I213" s="50"/>
      <c r="J213" s="50"/>
      <c r="K213" s="50"/>
      <c r="L213" s="50"/>
      <c r="M213" s="51"/>
      <c r="N213" s="51"/>
      <c r="O213" s="51"/>
      <c r="P213" s="51"/>
      <c r="Q213" s="51"/>
      <c r="R213" s="51"/>
      <c r="S213" s="51"/>
      <c r="T213" s="52"/>
      <c r="U213" s="52"/>
      <c r="V213" s="52"/>
      <c r="W213" s="52"/>
      <c r="X213" s="52"/>
      <c r="Y213" s="52"/>
      <c r="Z213" s="52"/>
      <c r="AA213" s="52"/>
      <c r="AB213" s="51"/>
      <c r="AC213" s="51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</row>
    <row r="214" spans="1:83" ht="14.25" customHeight="1" x14ac:dyDescent="0.25">
      <c r="A214" s="14"/>
      <c r="B214" s="14"/>
      <c r="C214" s="14"/>
      <c r="D214" s="14"/>
      <c r="E214" s="14"/>
      <c r="F214" s="14"/>
      <c r="G214" s="14"/>
      <c r="H214" s="50"/>
      <c r="I214" s="50"/>
      <c r="J214" s="50"/>
      <c r="K214" s="50"/>
      <c r="L214" s="50"/>
      <c r="M214" s="51"/>
      <c r="N214" s="51"/>
      <c r="O214" s="51"/>
      <c r="P214" s="51"/>
      <c r="Q214" s="51"/>
      <c r="R214" s="51"/>
      <c r="S214" s="51"/>
      <c r="T214" s="52"/>
      <c r="U214" s="52"/>
      <c r="V214" s="52"/>
      <c r="W214" s="52"/>
      <c r="X214" s="52"/>
      <c r="Y214" s="52"/>
      <c r="Z214" s="52"/>
      <c r="AA214" s="52"/>
      <c r="AB214" s="51"/>
      <c r="AC214" s="51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</row>
    <row r="215" spans="1:83" ht="14.25" customHeight="1" x14ac:dyDescent="0.25">
      <c r="A215" s="14"/>
      <c r="B215" s="14"/>
      <c r="C215" s="14"/>
      <c r="D215" s="14"/>
      <c r="E215" s="14"/>
      <c r="F215" s="14"/>
      <c r="G215" s="14"/>
      <c r="H215" s="50"/>
      <c r="I215" s="50"/>
      <c r="J215" s="50"/>
      <c r="K215" s="50"/>
      <c r="L215" s="50"/>
      <c r="M215" s="51"/>
      <c r="N215" s="51"/>
      <c r="O215" s="51"/>
      <c r="P215" s="51"/>
      <c r="Q215" s="51"/>
      <c r="R215" s="51"/>
      <c r="S215" s="51"/>
      <c r="T215" s="52"/>
      <c r="U215" s="52"/>
      <c r="V215" s="52"/>
      <c r="W215" s="52"/>
      <c r="X215" s="52"/>
      <c r="Y215" s="52"/>
      <c r="Z215" s="52"/>
      <c r="AA215" s="52"/>
      <c r="AB215" s="51"/>
      <c r="AC215" s="51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</row>
    <row r="216" spans="1:83" ht="14.25" customHeight="1" x14ac:dyDescent="0.25">
      <c r="A216" s="14"/>
      <c r="B216" s="14"/>
      <c r="C216" s="14"/>
      <c r="D216" s="14"/>
      <c r="E216" s="14"/>
      <c r="F216" s="14"/>
      <c r="G216" s="14"/>
      <c r="H216" s="50"/>
      <c r="I216" s="50"/>
      <c r="J216" s="50"/>
      <c r="K216" s="50"/>
      <c r="L216" s="50"/>
      <c r="M216" s="51"/>
      <c r="N216" s="51"/>
      <c r="O216" s="51"/>
      <c r="P216" s="51"/>
      <c r="Q216" s="51"/>
      <c r="R216" s="51"/>
      <c r="S216" s="51"/>
      <c r="T216" s="52"/>
      <c r="U216" s="52"/>
      <c r="V216" s="52"/>
      <c r="W216" s="52"/>
      <c r="X216" s="52"/>
      <c r="Y216" s="52"/>
      <c r="Z216" s="52"/>
      <c r="AA216" s="52"/>
      <c r="AB216" s="51"/>
      <c r="AC216" s="51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</row>
    <row r="217" spans="1:83" ht="14.25" customHeight="1" x14ac:dyDescent="0.25">
      <c r="A217" s="47"/>
      <c r="B217" s="47"/>
      <c r="C217" s="47"/>
      <c r="D217" s="47"/>
      <c r="E217" s="47"/>
      <c r="F217" s="47"/>
      <c r="G217" s="47"/>
      <c r="H217" s="43"/>
      <c r="I217" s="43"/>
      <c r="J217" s="43"/>
      <c r="K217" s="43"/>
      <c r="L217" s="43"/>
      <c r="M217" s="44"/>
      <c r="N217" s="44"/>
      <c r="O217" s="44"/>
      <c r="P217" s="44"/>
      <c r="Q217" s="44"/>
      <c r="R217" s="44"/>
      <c r="S217" s="44"/>
      <c r="T217" s="45"/>
      <c r="U217" s="45"/>
      <c r="V217" s="45"/>
      <c r="W217" s="45"/>
      <c r="X217" s="45"/>
      <c r="Y217" s="45"/>
      <c r="Z217" s="45"/>
      <c r="AA217" s="45"/>
      <c r="AB217" s="44"/>
      <c r="AC217" s="44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  <c r="BJ217" s="43"/>
      <c r="BK217" s="43"/>
      <c r="BL217" s="43"/>
      <c r="BM217" s="43"/>
      <c r="BN217" s="43"/>
      <c r="BO217" s="43"/>
      <c r="BP217" s="43"/>
      <c r="BQ217" s="43"/>
      <c r="BR217" s="43"/>
      <c r="BS217" s="43"/>
      <c r="BT217" s="43"/>
      <c r="BU217" s="43"/>
      <c r="BV217" s="43"/>
      <c r="BW217" s="43"/>
      <c r="BX217" s="43"/>
      <c r="BY217" s="43"/>
      <c r="BZ217" s="43"/>
      <c r="CA217" s="43"/>
      <c r="CB217" s="43"/>
      <c r="CC217" s="43"/>
      <c r="CD217" s="43"/>
      <c r="CE217" s="43"/>
    </row>
    <row r="218" spans="1:83" ht="14.25" customHeight="1" x14ac:dyDescent="0.25">
      <c r="A218" s="47"/>
      <c r="B218" s="47"/>
      <c r="C218" s="47"/>
      <c r="D218" s="47"/>
      <c r="E218" s="47"/>
      <c r="F218" s="47"/>
      <c r="G218" s="47"/>
      <c r="H218" s="43"/>
      <c r="I218" s="43"/>
      <c r="J218" s="43"/>
      <c r="K218" s="43"/>
      <c r="L218" s="43"/>
      <c r="M218" s="44"/>
      <c r="N218" s="44"/>
      <c r="O218" s="44"/>
      <c r="P218" s="44"/>
      <c r="Q218" s="44"/>
      <c r="R218" s="44"/>
      <c r="S218" s="44"/>
      <c r="T218" s="45"/>
      <c r="U218" s="45"/>
      <c r="V218" s="45"/>
      <c r="W218" s="45"/>
      <c r="X218" s="45"/>
      <c r="Y218" s="45"/>
      <c r="Z218" s="45"/>
      <c r="AA218" s="45"/>
      <c r="AB218" s="44"/>
      <c r="AC218" s="44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  <c r="BJ218" s="43"/>
      <c r="BK218" s="43"/>
      <c r="BL218" s="43"/>
      <c r="BM218" s="43"/>
      <c r="BN218" s="43"/>
      <c r="BO218" s="43"/>
      <c r="BP218" s="43"/>
      <c r="BQ218" s="43"/>
      <c r="BR218" s="43"/>
      <c r="BS218" s="43"/>
      <c r="BT218" s="43"/>
      <c r="BU218" s="43"/>
      <c r="BV218" s="43"/>
      <c r="BW218" s="43"/>
      <c r="BX218" s="43"/>
      <c r="BY218" s="43"/>
      <c r="BZ218" s="43"/>
      <c r="CA218" s="43"/>
      <c r="CB218" s="43"/>
      <c r="CC218" s="43"/>
      <c r="CD218" s="43"/>
      <c r="CE218" s="43"/>
    </row>
    <row r="219" spans="1:83" ht="14.25" customHeight="1" x14ac:dyDescent="0.25">
      <c r="A219" s="47"/>
      <c r="B219" s="47"/>
      <c r="C219" s="47"/>
      <c r="D219" s="47"/>
      <c r="E219" s="47"/>
      <c r="F219" s="47"/>
      <c r="G219" s="47"/>
      <c r="H219" s="43"/>
      <c r="I219" s="43"/>
      <c r="J219" s="43"/>
      <c r="K219" s="43"/>
      <c r="L219" s="43"/>
      <c r="M219" s="44"/>
      <c r="N219" s="44"/>
      <c r="O219" s="44"/>
      <c r="P219" s="44"/>
      <c r="Q219" s="44"/>
      <c r="R219" s="44"/>
      <c r="S219" s="44"/>
      <c r="T219" s="45"/>
      <c r="U219" s="45"/>
      <c r="V219" s="45"/>
      <c r="W219" s="45"/>
      <c r="X219" s="45"/>
      <c r="Y219" s="45"/>
      <c r="Z219" s="45"/>
      <c r="AA219" s="45"/>
      <c r="AB219" s="44"/>
      <c r="AC219" s="44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  <c r="BJ219" s="43"/>
      <c r="BK219" s="43"/>
      <c r="BL219" s="43"/>
      <c r="BM219" s="43"/>
      <c r="BN219" s="43"/>
      <c r="BO219" s="43"/>
      <c r="BP219" s="43"/>
      <c r="BQ219" s="43"/>
      <c r="BR219" s="43"/>
      <c r="BS219" s="43"/>
      <c r="BT219" s="43"/>
      <c r="BU219" s="43"/>
      <c r="BV219" s="43"/>
      <c r="BW219" s="43"/>
      <c r="BX219" s="43"/>
      <c r="BY219" s="43"/>
      <c r="BZ219" s="43"/>
      <c r="CA219" s="43"/>
      <c r="CB219" s="43"/>
      <c r="CC219" s="43"/>
      <c r="CD219" s="43"/>
      <c r="CE219" s="43"/>
    </row>
    <row r="220" spans="1:83" ht="14.25" customHeight="1" x14ac:dyDescent="0.25">
      <c r="A220" s="47"/>
      <c r="B220" s="47"/>
      <c r="C220" s="47"/>
      <c r="D220" s="47"/>
      <c r="E220" s="47"/>
      <c r="F220" s="47"/>
      <c r="G220" s="47"/>
      <c r="H220" s="43"/>
      <c r="I220" s="43"/>
      <c r="J220" s="43"/>
      <c r="K220" s="43"/>
      <c r="L220" s="43"/>
      <c r="M220" s="44"/>
      <c r="N220" s="44"/>
      <c r="O220" s="44"/>
      <c r="P220" s="44"/>
      <c r="Q220" s="44"/>
      <c r="R220" s="44"/>
      <c r="S220" s="44"/>
      <c r="T220" s="45"/>
      <c r="U220" s="45"/>
      <c r="V220" s="45"/>
      <c r="W220" s="45"/>
      <c r="X220" s="45"/>
      <c r="Y220" s="45"/>
      <c r="Z220" s="45"/>
      <c r="AA220" s="45"/>
      <c r="AB220" s="44"/>
      <c r="AC220" s="44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  <c r="BJ220" s="43"/>
      <c r="BK220" s="43"/>
      <c r="BL220" s="43"/>
      <c r="BM220" s="43"/>
      <c r="BN220" s="43"/>
      <c r="BO220" s="43"/>
      <c r="BP220" s="43"/>
      <c r="BQ220" s="43"/>
      <c r="BR220" s="43"/>
      <c r="BS220" s="43"/>
      <c r="BT220" s="43"/>
      <c r="BU220" s="43"/>
      <c r="BV220" s="43"/>
      <c r="BW220" s="43"/>
      <c r="BX220" s="43"/>
      <c r="BY220" s="43"/>
      <c r="BZ220" s="43"/>
      <c r="CA220" s="43"/>
      <c r="CB220" s="43"/>
      <c r="CC220" s="43"/>
      <c r="CD220" s="43"/>
      <c r="CE220" s="43"/>
    </row>
    <row r="221" spans="1:83" ht="14.25" customHeight="1" x14ac:dyDescent="0.25">
      <c r="A221" s="47"/>
      <c r="B221" s="47"/>
      <c r="C221" s="47"/>
      <c r="D221" s="47"/>
      <c r="E221" s="47"/>
      <c r="F221" s="47"/>
      <c r="G221" s="47"/>
      <c r="H221" s="43"/>
      <c r="I221" s="43"/>
      <c r="J221" s="43"/>
      <c r="K221" s="43"/>
      <c r="L221" s="43"/>
      <c r="M221" s="44"/>
      <c r="N221" s="44"/>
      <c r="O221" s="44"/>
      <c r="P221" s="44"/>
      <c r="Q221" s="44"/>
      <c r="R221" s="44"/>
      <c r="S221" s="44"/>
      <c r="T221" s="45"/>
      <c r="U221" s="45"/>
      <c r="V221" s="45"/>
      <c r="W221" s="45"/>
      <c r="X221" s="45"/>
      <c r="Y221" s="45"/>
      <c r="Z221" s="45"/>
      <c r="AA221" s="45"/>
      <c r="AB221" s="44"/>
      <c r="AC221" s="44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  <c r="BJ221" s="43"/>
      <c r="BK221" s="43"/>
      <c r="BL221" s="43"/>
      <c r="BM221" s="43"/>
      <c r="BN221" s="43"/>
      <c r="BO221" s="43"/>
      <c r="BP221" s="43"/>
      <c r="BQ221" s="43"/>
      <c r="BR221" s="43"/>
      <c r="BS221" s="43"/>
      <c r="BT221" s="43"/>
      <c r="BU221" s="43"/>
      <c r="BV221" s="43"/>
      <c r="BW221" s="43"/>
      <c r="BX221" s="43"/>
      <c r="BY221" s="43"/>
      <c r="BZ221" s="43"/>
      <c r="CA221" s="43"/>
      <c r="CB221" s="43"/>
      <c r="CC221" s="43"/>
      <c r="CD221" s="43"/>
      <c r="CE221" s="43"/>
    </row>
    <row r="222" spans="1:83" ht="14.25" customHeight="1" x14ac:dyDescent="0.25">
      <c r="A222" s="47"/>
      <c r="B222" s="47"/>
      <c r="C222" s="47"/>
      <c r="D222" s="47"/>
      <c r="E222" s="47"/>
      <c r="F222" s="47"/>
      <c r="G222" s="47"/>
      <c r="H222" s="43"/>
      <c r="I222" s="43"/>
      <c r="J222" s="43"/>
      <c r="K222" s="43"/>
      <c r="L222" s="43"/>
      <c r="M222" s="44"/>
      <c r="N222" s="44"/>
      <c r="O222" s="44"/>
      <c r="P222" s="44"/>
      <c r="Q222" s="44"/>
      <c r="R222" s="44"/>
      <c r="S222" s="44"/>
      <c r="T222" s="45"/>
      <c r="U222" s="45"/>
      <c r="V222" s="45"/>
      <c r="W222" s="45"/>
      <c r="X222" s="45"/>
      <c r="Y222" s="45"/>
      <c r="Z222" s="45"/>
      <c r="AA222" s="45"/>
      <c r="AB222" s="44"/>
      <c r="AC222" s="44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  <c r="BJ222" s="43"/>
      <c r="BK222" s="43"/>
      <c r="BL222" s="43"/>
      <c r="BM222" s="43"/>
      <c r="BN222" s="43"/>
      <c r="BO222" s="43"/>
      <c r="BP222" s="43"/>
      <c r="BQ222" s="43"/>
      <c r="BR222" s="43"/>
      <c r="BS222" s="43"/>
      <c r="BT222" s="43"/>
      <c r="BU222" s="43"/>
      <c r="BV222" s="43"/>
      <c r="BW222" s="43"/>
      <c r="BX222" s="43"/>
      <c r="BY222" s="43"/>
      <c r="BZ222" s="43"/>
      <c r="CA222" s="43"/>
      <c r="CB222" s="43"/>
      <c r="CC222" s="43"/>
      <c r="CD222" s="43"/>
      <c r="CE222" s="43"/>
    </row>
    <row r="223" spans="1:83" ht="14.25" customHeight="1" x14ac:dyDescent="0.25">
      <c r="A223" s="47"/>
      <c r="B223" s="47"/>
      <c r="C223" s="47"/>
      <c r="D223" s="47"/>
      <c r="E223" s="47"/>
      <c r="F223" s="47"/>
      <c r="G223" s="47"/>
      <c r="H223" s="43"/>
      <c r="I223" s="43"/>
      <c r="J223" s="43"/>
      <c r="K223" s="43"/>
      <c r="L223" s="43"/>
      <c r="M223" s="44"/>
      <c r="N223" s="44"/>
      <c r="O223" s="44"/>
      <c r="P223" s="44"/>
      <c r="Q223" s="44"/>
      <c r="R223" s="44"/>
      <c r="S223" s="44"/>
      <c r="T223" s="45"/>
      <c r="U223" s="45"/>
      <c r="V223" s="45"/>
      <c r="W223" s="45"/>
      <c r="X223" s="45"/>
      <c r="Y223" s="45"/>
      <c r="Z223" s="45"/>
      <c r="AA223" s="45"/>
      <c r="AB223" s="44"/>
      <c r="AC223" s="44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  <c r="BJ223" s="43"/>
      <c r="BK223" s="43"/>
      <c r="BL223" s="43"/>
      <c r="BM223" s="43"/>
      <c r="BN223" s="43"/>
      <c r="BO223" s="43"/>
      <c r="BP223" s="43"/>
      <c r="BQ223" s="43"/>
      <c r="BR223" s="43"/>
      <c r="BS223" s="43"/>
      <c r="BT223" s="43"/>
      <c r="BU223" s="43"/>
      <c r="BV223" s="43"/>
      <c r="BW223" s="43"/>
      <c r="BX223" s="43"/>
      <c r="BY223" s="43"/>
      <c r="BZ223" s="43"/>
      <c r="CA223" s="43"/>
      <c r="CB223" s="43"/>
      <c r="CC223" s="43"/>
      <c r="CD223" s="43"/>
      <c r="CE223" s="43"/>
    </row>
    <row r="224" spans="1:83" ht="14.25" customHeight="1" x14ac:dyDescent="0.25">
      <c r="A224" s="47"/>
      <c r="B224" s="47"/>
      <c r="C224" s="47"/>
      <c r="D224" s="47"/>
      <c r="E224" s="47"/>
      <c r="F224" s="47"/>
      <c r="G224" s="47"/>
      <c r="H224" s="43"/>
      <c r="I224" s="43"/>
      <c r="J224" s="43"/>
      <c r="K224" s="43"/>
      <c r="L224" s="43"/>
      <c r="M224" s="44"/>
      <c r="N224" s="44"/>
      <c r="O224" s="44"/>
      <c r="P224" s="44"/>
      <c r="Q224" s="44"/>
      <c r="R224" s="44"/>
      <c r="S224" s="44"/>
      <c r="T224" s="45"/>
      <c r="U224" s="45"/>
      <c r="V224" s="45"/>
      <c r="W224" s="45"/>
      <c r="X224" s="45"/>
      <c r="Y224" s="45"/>
      <c r="Z224" s="45"/>
      <c r="AA224" s="45"/>
      <c r="AB224" s="44"/>
      <c r="AC224" s="44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  <c r="BJ224" s="43"/>
      <c r="BK224" s="43"/>
      <c r="BL224" s="43"/>
      <c r="BM224" s="43"/>
      <c r="BN224" s="43"/>
      <c r="BO224" s="43"/>
      <c r="BP224" s="43"/>
      <c r="BQ224" s="43"/>
      <c r="BR224" s="43"/>
      <c r="BS224" s="43"/>
      <c r="BT224" s="43"/>
      <c r="BU224" s="43"/>
      <c r="BV224" s="43"/>
      <c r="BW224" s="43"/>
      <c r="BX224" s="43"/>
      <c r="BY224" s="43"/>
      <c r="BZ224" s="43"/>
      <c r="CA224" s="43"/>
      <c r="CB224" s="43"/>
      <c r="CC224" s="43"/>
      <c r="CD224" s="43"/>
      <c r="CE224" s="43"/>
    </row>
    <row r="225" spans="1:83" ht="14.25" customHeight="1" x14ac:dyDescent="0.25">
      <c r="A225" s="47"/>
      <c r="B225" s="47"/>
      <c r="C225" s="47"/>
      <c r="D225" s="47"/>
      <c r="E225" s="47"/>
      <c r="F225" s="47"/>
      <c r="G225" s="47"/>
      <c r="H225" s="43"/>
      <c r="I225" s="43"/>
      <c r="J225" s="43"/>
      <c r="K225" s="43"/>
      <c r="L225" s="43"/>
      <c r="M225" s="44"/>
      <c r="N225" s="44"/>
      <c r="O225" s="44"/>
      <c r="P225" s="44"/>
      <c r="Q225" s="44"/>
      <c r="R225" s="44"/>
      <c r="S225" s="44"/>
      <c r="T225" s="45"/>
      <c r="U225" s="45"/>
      <c r="V225" s="45"/>
      <c r="W225" s="45"/>
      <c r="X225" s="45"/>
      <c r="Y225" s="45"/>
      <c r="Z225" s="45"/>
      <c r="AA225" s="45"/>
      <c r="AB225" s="44"/>
      <c r="AC225" s="44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  <c r="BJ225" s="43"/>
      <c r="BK225" s="43"/>
      <c r="BL225" s="43"/>
      <c r="BM225" s="43"/>
      <c r="BN225" s="43"/>
      <c r="BO225" s="43"/>
      <c r="BP225" s="43"/>
      <c r="BQ225" s="43"/>
      <c r="BR225" s="43"/>
      <c r="BS225" s="43"/>
      <c r="BT225" s="43"/>
      <c r="BU225" s="43"/>
      <c r="BV225" s="43"/>
      <c r="BW225" s="43"/>
      <c r="BX225" s="43"/>
      <c r="BY225" s="43"/>
      <c r="BZ225" s="43"/>
      <c r="CA225" s="43"/>
      <c r="CB225" s="43"/>
      <c r="CC225" s="43"/>
      <c r="CD225" s="43"/>
      <c r="CE225" s="43"/>
    </row>
    <row r="226" spans="1:83" ht="14.25" customHeight="1" x14ac:dyDescent="0.25">
      <c r="A226" s="47"/>
      <c r="B226" s="47"/>
      <c r="C226" s="49"/>
      <c r="D226" s="47"/>
      <c r="E226" s="47"/>
      <c r="F226" s="47"/>
      <c r="G226" s="47"/>
      <c r="H226" s="43"/>
      <c r="I226" s="43"/>
      <c r="J226" s="43"/>
      <c r="K226" s="43"/>
      <c r="L226" s="43"/>
      <c r="M226" s="44"/>
      <c r="N226" s="44"/>
      <c r="O226" s="44"/>
      <c r="P226" s="44"/>
      <c r="Q226" s="44"/>
      <c r="R226" s="44"/>
      <c r="S226" s="44"/>
      <c r="T226" s="45"/>
      <c r="U226" s="45"/>
      <c r="V226" s="45"/>
      <c r="W226" s="45"/>
      <c r="X226" s="45"/>
      <c r="Y226" s="45"/>
      <c r="Z226" s="45"/>
      <c r="AA226" s="45"/>
      <c r="AB226" s="44"/>
      <c r="AC226" s="44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  <c r="BJ226" s="43"/>
      <c r="BK226" s="43"/>
      <c r="BL226" s="43"/>
      <c r="BM226" s="43"/>
      <c r="BN226" s="43"/>
      <c r="BO226" s="43"/>
      <c r="BP226" s="43"/>
      <c r="BQ226" s="43"/>
      <c r="BR226" s="43"/>
      <c r="BS226" s="43"/>
      <c r="BT226" s="43"/>
      <c r="BU226" s="43"/>
      <c r="BV226" s="43"/>
      <c r="BW226" s="43"/>
      <c r="BX226" s="43"/>
      <c r="BY226" s="43"/>
      <c r="BZ226" s="43"/>
      <c r="CA226" s="43"/>
      <c r="CB226" s="43"/>
      <c r="CC226" s="43"/>
      <c r="CD226" s="43"/>
      <c r="CE226" s="43"/>
    </row>
    <row r="227" spans="1:83" ht="14.25" customHeight="1" x14ac:dyDescent="0.25">
      <c r="A227" s="47"/>
      <c r="B227" s="47"/>
      <c r="C227" s="49"/>
      <c r="D227" s="47"/>
      <c r="E227" s="47"/>
      <c r="F227" s="47"/>
      <c r="G227" s="47"/>
      <c r="H227" s="43"/>
      <c r="I227" s="43"/>
      <c r="J227" s="43"/>
      <c r="K227" s="43"/>
      <c r="L227" s="43"/>
      <c r="M227" s="44"/>
      <c r="N227" s="44"/>
      <c r="O227" s="44"/>
      <c r="P227" s="44"/>
      <c r="Q227" s="44"/>
      <c r="R227" s="44"/>
      <c r="S227" s="44"/>
      <c r="T227" s="45"/>
      <c r="U227" s="45"/>
      <c r="V227" s="45"/>
      <c r="W227" s="45"/>
      <c r="X227" s="45"/>
      <c r="Y227" s="45"/>
      <c r="Z227" s="45"/>
      <c r="AA227" s="45"/>
      <c r="AB227" s="44"/>
      <c r="AC227" s="44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  <c r="BJ227" s="43"/>
      <c r="BK227" s="43"/>
      <c r="BL227" s="43"/>
      <c r="BM227" s="43"/>
      <c r="BN227" s="43"/>
      <c r="BO227" s="43"/>
      <c r="BP227" s="43"/>
      <c r="BQ227" s="43"/>
      <c r="BR227" s="43"/>
      <c r="BS227" s="43"/>
      <c r="BT227" s="43"/>
      <c r="BU227" s="43"/>
      <c r="BV227" s="43"/>
      <c r="BW227" s="43"/>
      <c r="BX227" s="43"/>
      <c r="BY227" s="43"/>
      <c r="BZ227" s="43"/>
      <c r="CA227" s="43"/>
      <c r="CB227" s="43"/>
      <c r="CC227" s="43"/>
      <c r="CD227" s="43"/>
      <c r="CE227" s="43"/>
    </row>
    <row r="228" spans="1:83" ht="14.25" customHeight="1" x14ac:dyDescent="0.25">
      <c r="A228" s="47"/>
      <c r="B228" s="47"/>
      <c r="C228" s="47"/>
      <c r="D228" s="47"/>
      <c r="E228" s="47"/>
      <c r="F228" s="47"/>
      <c r="G228" s="47"/>
      <c r="H228" s="43"/>
      <c r="I228" s="43"/>
      <c r="J228" s="43"/>
      <c r="K228" s="43"/>
      <c r="L228" s="43"/>
      <c r="M228" s="44"/>
      <c r="N228" s="44"/>
      <c r="O228" s="44"/>
      <c r="P228" s="44"/>
      <c r="Q228" s="44"/>
      <c r="R228" s="44"/>
      <c r="S228" s="44"/>
      <c r="T228" s="45"/>
      <c r="U228" s="45"/>
      <c r="V228" s="45"/>
      <c r="W228" s="45"/>
      <c r="X228" s="45"/>
      <c r="Y228" s="45"/>
      <c r="Z228" s="45"/>
      <c r="AA228" s="45"/>
      <c r="AB228" s="44"/>
      <c r="AC228" s="44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  <c r="BJ228" s="43"/>
      <c r="BK228" s="43"/>
      <c r="BL228" s="43"/>
      <c r="BM228" s="43"/>
      <c r="BN228" s="43"/>
      <c r="BO228" s="43"/>
      <c r="BP228" s="43"/>
      <c r="BQ228" s="43"/>
      <c r="BR228" s="43"/>
      <c r="BS228" s="43"/>
      <c r="BT228" s="43"/>
      <c r="BU228" s="43"/>
      <c r="BV228" s="43"/>
      <c r="BW228" s="43"/>
      <c r="BX228" s="43"/>
      <c r="BY228" s="43"/>
      <c r="BZ228" s="43"/>
      <c r="CA228" s="43"/>
      <c r="CB228" s="43"/>
      <c r="CC228" s="43"/>
      <c r="CD228" s="43"/>
      <c r="CE228" s="43"/>
    </row>
    <row r="229" spans="1:83" ht="14.25" customHeight="1" x14ac:dyDescent="0.25">
      <c r="A229" s="47"/>
      <c r="B229" s="47"/>
      <c r="C229" s="47"/>
      <c r="D229" s="47"/>
      <c r="E229" s="47"/>
      <c r="F229" s="47"/>
      <c r="G229" s="47"/>
      <c r="H229" s="43"/>
      <c r="I229" s="43"/>
      <c r="J229" s="43"/>
      <c r="K229" s="43"/>
      <c r="L229" s="43"/>
      <c r="M229" s="44"/>
      <c r="N229" s="44"/>
      <c r="O229" s="44"/>
      <c r="P229" s="44"/>
      <c r="Q229" s="44"/>
      <c r="R229" s="44"/>
      <c r="S229" s="44"/>
      <c r="T229" s="45"/>
      <c r="U229" s="45"/>
      <c r="V229" s="45"/>
      <c r="W229" s="45"/>
      <c r="X229" s="45"/>
      <c r="Y229" s="45"/>
      <c r="Z229" s="45"/>
      <c r="AA229" s="45"/>
      <c r="AB229" s="44"/>
      <c r="AC229" s="44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  <c r="BJ229" s="43"/>
      <c r="BK229" s="43"/>
      <c r="BL229" s="43"/>
      <c r="BM229" s="43"/>
      <c r="BN229" s="43"/>
      <c r="BO229" s="43"/>
      <c r="BP229" s="43"/>
      <c r="BQ229" s="43"/>
      <c r="BR229" s="43"/>
      <c r="BS229" s="43"/>
      <c r="BT229" s="43"/>
      <c r="BU229" s="43"/>
      <c r="BV229" s="43"/>
      <c r="BW229" s="43"/>
      <c r="BX229" s="43"/>
      <c r="BY229" s="43"/>
      <c r="BZ229" s="43"/>
      <c r="CA229" s="43"/>
      <c r="CB229" s="43"/>
      <c r="CC229" s="43"/>
      <c r="CD229" s="43"/>
      <c r="CE229" s="43"/>
    </row>
    <row r="230" spans="1:83" ht="14.25" customHeight="1" x14ac:dyDescent="0.25">
      <c r="A230" s="47"/>
      <c r="B230" s="47"/>
      <c r="C230" s="47"/>
      <c r="D230" s="47"/>
      <c r="E230" s="47"/>
      <c r="F230" s="47"/>
      <c r="G230" s="47"/>
      <c r="H230" s="43"/>
      <c r="I230" s="43"/>
      <c r="J230" s="43"/>
      <c r="K230" s="43"/>
      <c r="L230" s="43"/>
      <c r="M230" s="44"/>
      <c r="N230" s="44"/>
      <c r="O230" s="44"/>
      <c r="P230" s="44"/>
      <c r="Q230" s="44"/>
      <c r="R230" s="44"/>
      <c r="S230" s="44"/>
      <c r="T230" s="45"/>
      <c r="U230" s="45"/>
      <c r="V230" s="45"/>
      <c r="W230" s="45"/>
      <c r="X230" s="45"/>
      <c r="Y230" s="45"/>
      <c r="Z230" s="45"/>
      <c r="AA230" s="45"/>
      <c r="AB230" s="44"/>
      <c r="AC230" s="44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  <c r="BJ230" s="43"/>
      <c r="BK230" s="43"/>
      <c r="BL230" s="43"/>
      <c r="BM230" s="43"/>
      <c r="BN230" s="43"/>
      <c r="BO230" s="43"/>
      <c r="BP230" s="43"/>
      <c r="BQ230" s="43"/>
      <c r="BR230" s="43"/>
      <c r="BS230" s="43"/>
      <c r="BT230" s="43"/>
      <c r="BU230" s="43"/>
      <c r="BV230" s="43"/>
      <c r="BW230" s="43"/>
      <c r="BX230" s="43"/>
      <c r="BY230" s="43"/>
      <c r="BZ230" s="43"/>
      <c r="CA230" s="43"/>
      <c r="CB230" s="43"/>
      <c r="CC230" s="43"/>
      <c r="CD230" s="43"/>
      <c r="CE230" s="43"/>
    </row>
    <row r="231" spans="1:83" ht="14.25" customHeight="1" x14ac:dyDescent="0.25">
      <c r="A231" s="47"/>
      <c r="B231" s="47"/>
      <c r="C231" s="47"/>
      <c r="D231" s="47"/>
      <c r="E231" s="47"/>
      <c r="F231" s="47"/>
      <c r="G231" s="47"/>
      <c r="H231" s="43"/>
      <c r="I231" s="43"/>
      <c r="J231" s="43"/>
      <c r="K231" s="43"/>
      <c r="L231" s="43"/>
      <c r="M231" s="44"/>
      <c r="N231" s="44"/>
      <c r="O231" s="44"/>
      <c r="P231" s="44"/>
      <c r="Q231" s="44"/>
      <c r="R231" s="44"/>
      <c r="S231" s="44"/>
      <c r="T231" s="45"/>
      <c r="U231" s="45"/>
      <c r="V231" s="45"/>
      <c r="W231" s="45"/>
      <c r="X231" s="45"/>
      <c r="Y231" s="45"/>
      <c r="Z231" s="45"/>
      <c r="AA231" s="45"/>
      <c r="AB231" s="44"/>
      <c r="AC231" s="44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  <c r="BJ231" s="43"/>
      <c r="BK231" s="43"/>
      <c r="BL231" s="43"/>
      <c r="BM231" s="43"/>
      <c r="BN231" s="43"/>
      <c r="BO231" s="43"/>
      <c r="BP231" s="43"/>
      <c r="BQ231" s="43"/>
      <c r="BR231" s="43"/>
      <c r="BS231" s="43"/>
      <c r="BT231" s="43"/>
      <c r="BU231" s="43"/>
      <c r="BV231" s="43"/>
      <c r="BW231" s="43"/>
      <c r="BX231" s="43"/>
      <c r="BY231" s="43"/>
      <c r="BZ231" s="43"/>
      <c r="CA231" s="43"/>
      <c r="CB231" s="43"/>
      <c r="CC231" s="43"/>
      <c r="CD231" s="43"/>
      <c r="CE231" s="43"/>
    </row>
    <row r="232" spans="1:83" ht="14.25" customHeight="1" x14ac:dyDescent="0.25">
      <c r="A232" s="47"/>
      <c r="B232" s="47"/>
      <c r="C232" s="47"/>
      <c r="D232" s="47"/>
      <c r="E232" s="47"/>
      <c r="F232" s="47"/>
      <c r="G232" s="47"/>
      <c r="H232" s="43"/>
      <c r="I232" s="43"/>
      <c r="J232" s="43"/>
      <c r="K232" s="43"/>
      <c r="L232" s="43"/>
      <c r="M232" s="44"/>
      <c r="N232" s="44"/>
      <c r="O232" s="44"/>
      <c r="P232" s="44"/>
      <c r="Q232" s="44"/>
      <c r="R232" s="44"/>
      <c r="S232" s="44"/>
      <c r="T232" s="45"/>
      <c r="U232" s="45"/>
      <c r="V232" s="45"/>
      <c r="W232" s="45"/>
      <c r="X232" s="45"/>
      <c r="Y232" s="45"/>
      <c r="Z232" s="45"/>
      <c r="AA232" s="45"/>
      <c r="AB232" s="44"/>
      <c r="AC232" s="44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  <c r="BJ232" s="43"/>
      <c r="BK232" s="43"/>
      <c r="BL232" s="43"/>
      <c r="BM232" s="43"/>
      <c r="BN232" s="43"/>
      <c r="BO232" s="43"/>
      <c r="BP232" s="43"/>
      <c r="BQ232" s="43"/>
      <c r="BR232" s="43"/>
      <c r="BS232" s="43"/>
      <c r="BT232" s="43"/>
      <c r="BU232" s="43"/>
      <c r="BV232" s="43"/>
      <c r="BW232" s="43"/>
      <c r="BX232" s="43"/>
      <c r="BY232" s="43"/>
      <c r="BZ232" s="43"/>
      <c r="CA232" s="43"/>
      <c r="CB232" s="43"/>
      <c r="CC232" s="43"/>
      <c r="CD232" s="43"/>
      <c r="CE232" s="43"/>
    </row>
    <row r="233" spans="1:83" ht="14.25" customHeight="1" x14ac:dyDescent="0.25">
      <c r="A233" s="47"/>
      <c r="B233" s="47"/>
      <c r="C233" s="47"/>
      <c r="D233" s="47"/>
      <c r="E233" s="47"/>
      <c r="F233" s="47"/>
      <c r="G233" s="47"/>
      <c r="H233" s="43"/>
      <c r="I233" s="43"/>
      <c r="J233" s="43"/>
      <c r="K233" s="43"/>
      <c r="L233" s="43"/>
      <c r="M233" s="44"/>
      <c r="N233" s="44"/>
      <c r="O233" s="44"/>
      <c r="P233" s="44"/>
      <c r="Q233" s="44"/>
      <c r="R233" s="44"/>
      <c r="S233" s="44"/>
      <c r="T233" s="45"/>
      <c r="U233" s="45"/>
      <c r="V233" s="45"/>
      <c r="W233" s="45"/>
      <c r="X233" s="45"/>
      <c r="Y233" s="45"/>
      <c r="Z233" s="45"/>
      <c r="AA233" s="45"/>
      <c r="AB233" s="44"/>
      <c r="AC233" s="44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  <c r="BJ233" s="43"/>
      <c r="BK233" s="43"/>
      <c r="BL233" s="43"/>
      <c r="BM233" s="43"/>
      <c r="BN233" s="43"/>
      <c r="BO233" s="43"/>
      <c r="BP233" s="43"/>
      <c r="BQ233" s="43"/>
      <c r="BR233" s="43"/>
      <c r="BS233" s="43"/>
      <c r="BT233" s="43"/>
      <c r="BU233" s="43"/>
      <c r="BV233" s="43"/>
      <c r="BW233" s="43"/>
      <c r="BX233" s="43"/>
      <c r="BY233" s="43"/>
      <c r="BZ233" s="43"/>
      <c r="CA233" s="43"/>
      <c r="CB233" s="43"/>
      <c r="CC233" s="43"/>
      <c r="CD233" s="43"/>
      <c r="CE233" s="43"/>
    </row>
    <row r="234" spans="1:83" ht="14.25" customHeight="1" x14ac:dyDescent="0.25">
      <c r="A234" s="47"/>
      <c r="B234" s="47"/>
      <c r="C234" s="47"/>
      <c r="D234" s="47"/>
      <c r="E234" s="47"/>
      <c r="F234" s="47"/>
      <c r="G234" s="47"/>
      <c r="H234" s="43"/>
      <c r="I234" s="43"/>
      <c r="J234" s="43"/>
      <c r="K234" s="43"/>
      <c r="L234" s="43"/>
      <c r="M234" s="44"/>
      <c r="N234" s="44"/>
      <c r="O234" s="44"/>
      <c r="P234" s="44"/>
      <c r="Q234" s="44"/>
      <c r="R234" s="44"/>
      <c r="S234" s="44"/>
      <c r="T234" s="45"/>
      <c r="U234" s="45"/>
      <c r="V234" s="45"/>
      <c r="W234" s="45"/>
      <c r="X234" s="45"/>
      <c r="Y234" s="45"/>
      <c r="Z234" s="45"/>
      <c r="AA234" s="45"/>
      <c r="AB234" s="44"/>
      <c r="AC234" s="44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  <c r="BJ234" s="43"/>
      <c r="BK234" s="43"/>
      <c r="BL234" s="43"/>
      <c r="BM234" s="43"/>
      <c r="BN234" s="43"/>
      <c r="BO234" s="43"/>
      <c r="BP234" s="43"/>
      <c r="BQ234" s="43"/>
      <c r="BR234" s="43"/>
      <c r="BS234" s="43"/>
      <c r="BT234" s="43"/>
      <c r="BU234" s="43"/>
      <c r="BV234" s="43"/>
      <c r="BW234" s="43"/>
      <c r="BX234" s="43"/>
      <c r="BY234" s="43"/>
      <c r="BZ234" s="43"/>
      <c r="CA234" s="43"/>
      <c r="CB234" s="43"/>
      <c r="CC234" s="43"/>
      <c r="CD234" s="43"/>
      <c r="CE234" s="43"/>
    </row>
    <row r="235" spans="1:83" ht="14.25" customHeight="1" x14ac:dyDescent="0.25">
      <c r="A235" s="47"/>
      <c r="B235" s="47"/>
      <c r="C235" s="47"/>
      <c r="D235" s="47"/>
      <c r="E235" s="47"/>
      <c r="F235" s="47"/>
      <c r="G235" s="47"/>
      <c r="H235" s="43"/>
      <c r="I235" s="43"/>
      <c r="J235" s="43"/>
      <c r="K235" s="43"/>
      <c r="L235" s="43"/>
      <c r="M235" s="44"/>
      <c r="N235" s="44"/>
      <c r="O235" s="44"/>
      <c r="P235" s="44"/>
      <c r="Q235" s="44"/>
      <c r="R235" s="44"/>
      <c r="S235" s="44"/>
      <c r="T235" s="45"/>
      <c r="U235" s="45"/>
      <c r="V235" s="45"/>
      <c r="W235" s="45"/>
      <c r="X235" s="45"/>
      <c r="Y235" s="45"/>
      <c r="Z235" s="45"/>
      <c r="AA235" s="45"/>
      <c r="AB235" s="44"/>
      <c r="AC235" s="44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  <c r="BJ235" s="43"/>
      <c r="BK235" s="43"/>
      <c r="BL235" s="43"/>
      <c r="BM235" s="43"/>
      <c r="BN235" s="43"/>
      <c r="BO235" s="43"/>
      <c r="BP235" s="43"/>
      <c r="BQ235" s="43"/>
      <c r="BR235" s="43"/>
      <c r="BS235" s="43"/>
      <c r="BT235" s="43"/>
      <c r="BU235" s="43"/>
      <c r="BV235" s="43"/>
      <c r="BW235" s="43"/>
      <c r="BX235" s="43"/>
      <c r="BY235" s="43"/>
      <c r="BZ235" s="43"/>
      <c r="CA235" s="43"/>
      <c r="CB235" s="43"/>
      <c r="CC235" s="43"/>
      <c r="CD235" s="43"/>
      <c r="CE235" s="43"/>
    </row>
    <row r="236" spans="1:83" ht="14.25" customHeight="1" x14ac:dyDescent="0.25">
      <c r="A236" s="47"/>
      <c r="B236" s="47"/>
      <c r="C236" s="47"/>
      <c r="D236" s="47"/>
      <c r="E236" s="47"/>
      <c r="F236" s="47"/>
      <c r="G236" s="47"/>
      <c r="H236" s="43"/>
      <c r="I236" s="43"/>
      <c r="J236" s="43"/>
      <c r="K236" s="43"/>
      <c r="L236" s="43"/>
      <c r="M236" s="44"/>
      <c r="N236" s="44"/>
      <c r="O236" s="44"/>
      <c r="P236" s="44"/>
      <c r="Q236" s="44"/>
      <c r="R236" s="44"/>
      <c r="S236" s="44"/>
      <c r="T236" s="45"/>
      <c r="U236" s="45"/>
      <c r="V236" s="45"/>
      <c r="W236" s="45"/>
      <c r="X236" s="45"/>
      <c r="Y236" s="45"/>
      <c r="Z236" s="45"/>
      <c r="AA236" s="45"/>
      <c r="AB236" s="44"/>
      <c r="AC236" s="44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  <c r="BJ236" s="43"/>
      <c r="BK236" s="43"/>
      <c r="BL236" s="43"/>
      <c r="BM236" s="43"/>
      <c r="BN236" s="43"/>
      <c r="BO236" s="43"/>
      <c r="BP236" s="43"/>
      <c r="BQ236" s="43"/>
      <c r="BR236" s="43"/>
      <c r="BS236" s="43"/>
      <c r="BT236" s="43"/>
      <c r="BU236" s="43"/>
      <c r="BV236" s="43"/>
      <c r="BW236" s="43"/>
      <c r="BX236" s="43"/>
      <c r="BY236" s="43"/>
      <c r="BZ236" s="43"/>
      <c r="CA236" s="43"/>
      <c r="CB236" s="43"/>
      <c r="CC236" s="43"/>
      <c r="CD236" s="43"/>
      <c r="CE236" s="43"/>
    </row>
    <row r="237" spans="1:83" ht="14.25" customHeight="1" x14ac:dyDescent="0.25">
      <c r="A237" s="47"/>
      <c r="B237" s="47"/>
      <c r="C237" s="47"/>
      <c r="D237" s="47"/>
      <c r="E237" s="47"/>
      <c r="F237" s="47"/>
      <c r="G237" s="47"/>
      <c r="H237" s="43"/>
      <c r="I237" s="43"/>
      <c r="J237" s="43"/>
      <c r="K237" s="43"/>
      <c r="L237" s="43"/>
      <c r="M237" s="44"/>
      <c r="N237" s="44"/>
      <c r="O237" s="44"/>
      <c r="P237" s="44"/>
      <c r="Q237" s="44"/>
      <c r="R237" s="44"/>
      <c r="S237" s="44"/>
      <c r="T237" s="45"/>
      <c r="U237" s="45"/>
      <c r="V237" s="45"/>
      <c r="W237" s="45"/>
      <c r="X237" s="45"/>
      <c r="Y237" s="45"/>
      <c r="Z237" s="45"/>
      <c r="AA237" s="45"/>
      <c r="AB237" s="44"/>
      <c r="AC237" s="44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  <c r="BJ237" s="43"/>
      <c r="BK237" s="43"/>
      <c r="BL237" s="43"/>
      <c r="BM237" s="43"/>
      <c r="BN237" s="43"/>
      <c r="BO237" s="43"/>
      <c r="BP237" s="43"/>
      <c r="BQ237" s="43"/>
      <c r="BR237" s="43"/>
      <c r="BS237" s="43"/>
      <c r="BT237" s="43"/>
      <c r="BU237" s="43"/>
      <c r="BV237" s="43"/>
      <c r="BW237" s="43"/>
      <c r="BX237" s="43"/>
      <c r="BY237" s="43"/>
      <c r="BZ237" s="43"/>
      <c r="CA237" s="43"/>
      <c r="CB237" s="43"/>
      <c r="CC237" s="43"/>
      <c r="CD237" s="43"/>
      <c r="CE237" s="43"/>
    </row>
    <row r="238" spans="1:83" ht="14.25" customHeight="1" x14ac:dyDescent="0.25">
      <c r="A238" s="47"/>
      <c r="B238" s="47"/>
      <c r="C238" s="47"/>
      <c r="D238" s="47"/>
      <c r="E238" s="47"/>
      <c r="F238" s="47"/>
      <c r="G238" s="47"/>
      <c r="H238" s="43"/>
      <c r="I238" s="43"/>
      <c r="J238" s="43"/>
      <c r="K238" s="43"/>
      <c r="L238" s="43"/>
      <c r="M238" s="44"/>
      <c r="N238" s="44"/>
      <c r="O238" s="44"/>
      <c r="P238" s="44"/>
      <c r="Q238" s="44"/>
      <c r="R238" s="44"/>
      <c r="S238" s="44"/>
      <c r="T238" s="45"/>
      <c r="U238" s="45"/>
      <c r="V238" s="45"/>
      <c r="W238" s="45"/>
      <c r="X238" s="45"/>
      <c r="Y238" s="45"/>
      <c r="Z238" s="45"/>
      <c r="AA238" s="45"/>
      <c r="AB238" s="44"/>
      <c r="AC238" s="44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  <c r="AU238" s="43"/>
      <c r="AV238" s="43"/>
      <c r="AW238" s="43"/>
      <c r="AX238" s="43"/>
      <c r="AY238" s="43"/>
      <c r="AZ238" s="43"/>
      <c r="BA238" s="43"/>
      <c r="BB238" s="43"/>
      <c r="BC238" s="43"/>
      <c r="BD238" s="43"/>
      <c r="BE238" s="43"/>
      <c r="BF238" s="43"/>
      <c r="BG238" s="43"/>
      <c r="BH238" s="43"/>
      <c r="BI238" s="43"/>
      <c r="BJ238" s="43"/>
      <c r="BK238" s="43"/>
      <c r="BL238" s="43"/>
      <c r="BM238" s="43"/>
      <c r="BN238" s="43"/>
      <c r="BO238" s="43"/>
      <c r="BP238" s="43"/>
      <c r="BQ238" s="43"/>
      <c r="BR238" s="43"/>
      <c r="BS238" s="43"/>
      <c r="BT238" s="43"/>
      <c r="BU238" s="43"/>
      <c r="BV238" s="43"/>
      <c r="BW238" s="43"/>
      <c r="BX238" s="43"/>
      <c r="BY238" s="43"/>
      <c r="BZ238" s="43"/>
      <c r="CA238" s="43"/>
      <c r="CB238" s="43"/>
      <c r="CC238" s="43"/>
      <c r="CD238" s="43"/>
      <c r="CE238" s="43"/>
    </row>
    <row r="239" spans="1:83" ht="14.25" customHeight="1" x14ac:dyDescent="0.25">
      <c r="A239" s="47"/>
      <c r="B239" s="47"/>
      <c r="C239" s="47"/>
      <c r="D239" s="47"/>
      <c r="E239" s="47"/>
      <c r="F239" s="47"/>
      <c r="G239" s="47"/>
      <c r="H239" s="43"/>
      <c r="I239" s="43"/>
      <c r="J239" s="43"/>
      <c r="K239" s="43"/>
      <c r="L239" s="43"/>
      <c r="M239" s="44"/>
      <c r="N239" s="44"/>
      <c r="O239" s="44"/>
      <c r="P239" s="44"/>
      <c r="Q239" s="44"/>
      <c r="R239" s="44"/>
      <c r="S239" s="44"/>
      <c r="T239" s="45"/>
      <c r="U239" s="45"/>
      <c r="V239" s="45"/>
      <c r="W239" s="45"/>
      <c r="X239" s="45"/>
      <c r="Y239" s="45"/>
      <c r="Z239" s="45"/>
      <c r="AA239" s="45"/>
      <c r="AB239" s="44"/>
      <c r="AC239" s="44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  <c r="AU239" s="43"/>
      <c r="AV239" s="43"/>
      <c r="AW239" s="43"/>
      <c r="AX239" s="43"/>
      <c r="AY239" s="43"/>
      <c r="AZ239" s="43"/>
      <c r="BA239" s="43"/>
      <c r="BB239" s="43"/>
      <c r="BC239" s="43"/>
      <c r="BD239" s="43"/>
      <c r="BE239" s="43"/>
      <c r="BF239" s="43"/>
      <c r="BG239" s="43"/>
      <c r="BH239" s="43"/>
      <c r="BI239" s="43"/>
      <c r="BJ239" s="43"/>
      <c r="BK239" s="43"/>
      <c r="BL239" s="43"/>
      <c r="BM239" s="43"/>
      <c r="BN239" s="43"/>
      <c r="BO239" s="43"/>
      <c r="BP239" s="43"/>
      <c r="BQ239" s="43"/>
      <c r="BR239" s="43"/>
      <c r="BS239" s="43"/>
      <c r="BT239" s="43"/>
      <c r="BU239" s="43"/>
      <c r="BV239" s="43"/>
      <c r="BW239" s="43"/>
      <c r="BX239" s="43"/>
      <c r="BY239" s="43"/>
      <c r="BZ239" s="43"/>
      <c r="CA239" s="43"/>
      <c r="CB239" s="43"/>
      <c r="CC239" s="43"/>
      <c r="CD239" s="43"/>
      <c r="CE239" s="43"/>
    </row>
    <row r="240" spans="1:83" ht="14.25" customHeight="1" x14ac:dyDescent="0.25">
      <c r="A240" s="47"/>
      <c r="B240" s="47"/>
      <c r="C240" s="47"/>
      <c r="D240" s="47"/>
      <c r="E240" s="47"/>
      <c r="F240" s="47"/>
      <c r="G240" s="47"/>
      <c r="H240" s="43"/>
      <c r="I240" s="43"/>
      <c r="J240" s="43"/>
      <c r="K240" s="43"/>
      <c r="L240" s="43"/>
      <c r="M240" s="44"/>
      <c r="N240" s="44"/>
      <c r="O240" s="44"/>
      <c r="P240" s="44"/>
      <c r="Q240" s="44"/>
      <c r="R240" s="44"/>
      <c r="S240" s="44"/>
      <c r="T240" s="45"/>
      <c r="U240" s="45"/>
      <c r="V240" s="45"/>
      <c r="W240" s="45"/>
      <c r="X240" s="45"/>
      <c r="Y240" s="45"/>
      <c r="Z240" s="45"/>
      <c r="AA240" s="45"/>
      <c r="AB240" s="44"/>
      <c r="AC240" s="44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  <c r="AU240" s="43"/>
      <c r="AV240" s="43"/>
      <c r="AW240" s="43"/>
      <c r="AX240" s="43"/>
      <c r="AY240" s="43"/>
      <c r="AZ240" s="43"/>
      <c r="BA240" s="43"/>
      <c r="BB240" s="43"/>
      <c r="BC240" s="43"/>
      <c r="BD240" s="43"/>
      <c r="BE240" s="43"/>
      <c r="BF240" s="43"/>
      <c r="BG240" s="43"/>
      <c r="BH240" s="43"/>
      <c r="BI240" s="43"/>
      <c r="BJ240" s="43"/>
      <c r="BK240" s="43"/>
      <c r="BL240" s="43"/>
      <c r="BM240" s="43"/>
      <c r="BN240" s="43"/>
      <c r="BO240" s="43"/>
      <c r="BP240" s="43"/>
      <c r="BQ240" s="43"/>
      <c r="BR240" s="43"/>
      <c r="BS240" s="43"/>
      <c r="BT240" s="43"/>
      <c r="BU240" s="43"/>
      <c r="BV240" s="43"/>
      <c r="BW240" s="43"/>
      <c r="BX240" s="43"/>
      <c r="BY240" s="43"/>
      <c r="BZ240" s="43"/>
      <c r="CA240" s="43"/>
      <c r="CB240" s="43"/>
      <c r="CC240" s="43"/>
      <c r="CD240" s="43"/>
      <c r="CE240" s="43"/>
    </row>
    <row r="241" spans="1:83" ht="14.25" customHeight="1" x14ac:dyDescent="0.25">
      <c r="A241" s="47"/>
      <c r="B241" s="47"/>
      <c r="C241" s="47"/>
      <c r="D241" s="47"/>
      <c r="E241" s="47"/>
      <c r="F241" s="47"/>
      <c r="G241" s="47"/>
      <c r="H241" s="43"/>
      <c r="I241" s="43"/>
      <c r="J241" s="43"/>
      <c r="K241" s="43"/>
      <c r="L241" s="43"/>
      <c r="M241" s="44"/>
      <c r="N241" s="44"/>
      <c r="O241" s="44"/>
      <c r="P241" s="44"/>
      <c r="Q241" s="44"/>
      <c r="R241" s="44"/>
      <c r="S241" s="44"/>
      <c r="T241" s="45"/>
      <c r="U241" s="45"/>
      <c r="V241" s="45"/>
      <c r="W241" s="45"/>
      <c r="X241" s="45"/>
      <c r="Y241" s="45"/>
      <c r="Z241" s="45"/>
      <c r="AA241" s="45"/>
      <c r="AB241" s="44"/>
      <c r="AC241" s="44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  <c r="BJ241" s="43"/>
      <c r="BK241" s="43"/>
      <c r="BL241" s="43"/>
      <c r="BM241" s="43"/>
      <c r="BN241" s="43"/>
      <c r="BO241" s="43"/>
      <c r="BP241" s="43"/>
      <c r="BQ241" s="43"/>
      <c r="BR241" s="43"/>
      <c r="BS241" s="43"/>
      <c r="BT241" s="43"/>
      <c r="BU241" s="43"/>
      <c r="BV241" s="43"/>
      <c r="BW241" s="43"/>
      <c r="BX241" s="43"/>
      <c r="BY241" s="43"/>
      <c r="BZ241" s="43"/>
      <c r="CA241" s="43"/>
      <c r="CB241" s="43"/>
      <c r="CC241" s="43"/>
      <c r="CD241" s="43"/>
      <c r="CE241" s="43"/>
    </row>
    <row r="242" spans="1:83" ht="14.25" customHeight="1" x14ac:dyDescent="0.25">
      <c r="A242" s="47"/>
      <c r="B242" s="47"/>
      <c r="C242" s="47"/>
      <c r="D242" s="47"/>
      <c r="E242" s="47"/>
      <c r="F242" s="47"/>
      <c r="G242" s="47"/>
      <c r="H242" s="43"/>
      <c r="I242" s="43"/>
      <c r="J242" s="43"/>
      <c r="K242" s="43"/>
      <c r="L242" s="43"/>
      <c r="M242" s="44"/>
      <c r="N242" s="44"/>
      <c r="O242" s="44"/>
      <c r="P242" s="44"/>
      <c r="Q242" s="44"/>
      <c r="R242" s="44"/>
      <c r="S242" s="44"/>
      <c r="T242" s="45"/>
      <c r="U242" s="45"/>
      <c r="V242" s="45"/>
      <c r="W242" s="45"/>
      <c r="X242" s="45"/>
      <c r="Y242" s="45"/>
      <c r="Z242" s="45"/>
      <c r="AA242" s="45"/>
      <c r="AB242" s="44"/>
      <c r="AC242" s="44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  <c r="BJ242" s="43"/>
      <c r="BK242" s="43"/>
      <c r="BL242" s="43"/>
      <c r="BM242" s="43"/>
      <c r="BN242" s="43"/>
      <c r="BO242" s="43"/>
      <c r="BP242" s="43"/>
      <c r="BQ242" s="43"/>
      <c r="BR242" s="43"/>
      <c r="BS242" s="43"/>
      <c r="BT242" s="43"/>
      <c r="BU242" s="43"/>
      <c r="BV242" s="43"/>
      <c r="BW242" s="43"/>
      <c r="BX242" s="43"/>
      <c r="BY242" s="43"/>
      <c r="BZ242" s="43"/>
      <c r="CA242" s="43"/>
      <c r="CB242" s="43"/>
      <c r="CC242" s="43"/>
      <c r="CD242" s="43"/>
      <c r="CE242" s="43"/>
    </row>
    <row r="243" spans="1:83" ht="14.25" customHeight="1" x14ac:dyDescent="0.25">
      <c r="A243" s="47"/>
      <c r="B243" s="47"/>
      <c r="C243" s="47"/>
      <c r="D243" s="47"/>
      <c r="E243" s="47"/>
      <c r="F243" s="47"/>
      <c r="G243" s="47"/>
      <c r="H243" s="43"/>
      <c r="I243" s="43"/>
      <c r="J243" s="43"/>
      <c r="K243" s="43"/>
      <c r="L243" s="43"/>
      <c r="M243" s="44"/>
      <c r="N243" s="44"/>
      <c r="O243" s="44"/>
      <c r="P243" s="44"/>
      <c r="Q243" s="44"/>
      <c r="R243" s="44"/>
      <c r="S243" s="44"/>
      <c r="T243" s="45"/>
      <c r="U243" s="45"/>
      <c r="V243" s="45"/>
      <c r="W243" s="45"/>
      <c r="X243" s="45"/>
      <c r="Y243" s="45"/>
      <c r="Z243" s="45"/>
      <c r="AA243" s="45"/>
      <c r="AB243" s="44"/>
      <c r="AC243" s="44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  <c r="BJ243" s="43"/>
      <c r="BK243" s="43"/>
      <c r="BL243" s="43"/>
      <c r="BM243" s="43"/>
      <c r="BN243" s="43"/>
      <c r="BO243" s="43"/>
      <c r="BP243" s="43"/>
      <c r="BQ243" s="43"/>
      <c r="BR243" s="43"/>
      <c r="BS243" s="43"/>
      <c r="BT243" s="43"/>
      <c r="BU243" s="43"/>
      <c r="BV243" s="43"/>
      <c r="BW243" s="43"/>
      <c r="BX243" s="43"/>
      <c r="BY243" s="43"/>
      <c r="BZ243" s="43"/>
      <c r="CA243" s="43"/>
      <c r="CB243" s="43"/>
      <c r="CC243" s="43"/>
      <c r="CD243" s="43"/>
      <c r="CE243" s="43"/>
    </row>
    <row r="244" spans="1:83" ht="14.25" customHeight="1" x14ac:dyDescent="0.25">
      <c r="A244" s="47"/>
      <c r="B244" s="47"/>
      <c r="C244" s="47"/>
      <c r="D244" s="47"/>
      <c r="E244" s="47"/>
      <c r="F244" s="47"/>
      <c r="G244" s="47"/>
      <c r="H244" s="43"/>
      <c r="I244" s="43"/>
      <c r="J244" s="43"/>
      <c r="K244" s="43"/>
      <c r="L244" s="43"/>
      <c r="M244" s="44"/>
      <c r="N244" s="44"/>
      <c r="O244" s="44"/>
      <c r="P244" s="44"/>
      <c r="Q244" s="44"/>
      <c r="R244" s="44"/>
      <c r="S244" s="44"/>
      <c r="T244" s="45"/>
      <c r="U244" s="45"/>
      <c r="V244" s="45"/>
      <c r="W244" s="45"/>
      <c r="X244" s="45"/>
      <c r="Y244" s="45"/>
      <c r="Z244" s="45"/>
      <c r="AA244" s="45"/>
      <c r="AB244" s="44"/>
      <c r="AC244" s="44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  <c r="BJ244" s="43"/>
      <c r="BK244" s="43"/>
      <c r="BL244" s="43"/>
      <c r="BM244" s="43"/>
      <c r="BN244" s="43"/>
      <c r="BO244" s="43"/>
      <c r="BP244" s="43"/>
      <c r="BQ244" s="43"/>
      <c r="BR244" s="43"/>
      <c r="BS244" s="43"/>
      <c r="BT244" s="43"/>
      <c r="BU244" s="43"/>
      <c r="BV244" s="43"/>
      <c r="BW244" s="43"/>
      <c r="BX244" s="43"/>
      <c r="BY244" s="43"/>
      <c r="BZ244" s="43"/>
      <c r="CA244" s="43"/>
      <c r="CB244" s="43"/>
      <c r="CC244" s="43"/>
      <c r="CD244" s="43"/>
      <c r="CE244" s="43"/>
    </row>
    <row r="245" spans="1:83" ht="14.25" customHeight="1" x14ac:dyDescent="0.25">
      <c r="A245" s="47"/>
      <c r="B245" s="47"/>
      <c r="C245" s="47"/>
      <c r="D245" s="47"/>
      <c r="E245" s="47"/>
      <c r="F245" s="47"/>
      <c r="G245" s="47"/>
      <c r="H245" s="43"/>
      <c r="I245" s="43"/>
      <c r="J245" s="43"/>
      <c r="K245" s="43"/>
      <c r="L245" s="43"/>
      <c r="M245" s="44"/>
      <c r="N245" s="44"/>
      <c r="O245" s="44"/>
      <c r="P245" s="44"/>
      <c r="Q245" s="44"/>
      <c r="R245" s="44"/>
      <c r="S245" s="44"/>
      <c r="T245" s="45"/>
      <c r="U245" s="45"/>
      <c r="V245" s="45"/>
      <c r="W245" s="45"/>
      <c r="X245" s="45"/>
      <c r="Y245" s="45"/>
      <c r="Z245" s="45"/>
      <c r="AA245" s="45"/>
      <c r="AB245" s="44"/>
      <c r="AC245" s="44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  <c r="BJ245" s="43"/>
      <c r="BK245" s="43"/>
      <c r="BL245" s="43"/>
      <c r="BM245" s="43"/>
      <c r="BN245" s="43"/>
      <c r="BO245" s="43"/>
      <c r="BP245" s="43"/>
      <c r="BQ245" s="43"/>
      <c r="BR245" s="43"/>
      <c r="BS245" s="43"/>
      <c r="BT245" s="43"/>
      <c r="BU245" s="43"/>
      <c r="BV245" s="43"/>
      <c r="BW245" s="43"/>
      <c r="BX245" s="43"/>
      <c r="BY245" s="43"/>
      <c r="BZ245" s="43"/>
      <c r="CA245" s="43"/>
      <c r="CB245" s="43"/>
      <c r="CC245" s="43"/>
      <c r="CD245" s="43"/>
      <c r="CE245" s="43"/>
    </row>
    <row r="246" spans="1:83" ht="14.25" customHeight="1" x14ac:dyDescent="0.25">
      <c r="A246" s="47"/>
      <c r="B246" s="47"/>
      <c r="C246" s="47"/>
      <c r="D246" s="47"/>
      <c r="E246" s="47"/>
      <c r="F246" s="47"/>
      <c r="G246" s="47"/>
      <c r="H246" s="43"/>
      <c r="I246" s="43"/>
      <c r="J246" s="43"/>
      <c r="K246" s="43"/>
      <c r="L246" s="43"/>
      <c r="M246" s="44"/>
      <c r="N246" s="44"/>
      <c r="O246" s="44"/>
      <c r="P246" s="44"/>
      <c r="Q246" s="44"/>
      <c r="R246" s="44"/>
      <c r="S246" s="44"/>
      <c r="T246" s="45"/>
      <c r="U246" s="45"/>
      <c r="V246" s="45"/>
      <c r="W246" s="45"/>
      <c r="X246" s="45"/>
      <c r="Y246" s="45"/>
      <c r="Z246" s="45"/>
      <c r="AA246" s="45"/>
      <c r="AB246" s="44"/>
      <c r="AC246" s="44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  <c r="BJ246" s="43"/>
      <c r="BK246" s="43"/>
      <c r="BL246" s="43"/>
      <c r="BM246" s="43"/>
      <c r="BN246" s="43"/>
      <c r="BO246" s="43"/>
      <c r="BP246" s="43"/>
      <c r="BQ246" s="43"/>
      <c r="BR246" s="43"/>
      <c r="BS246" s="43"/>
      <c r="BT246" s="43"/>
      <c r="BU246" s="43"/>
      <c r="BV246" s="43"/>
      <c r="BW246" s="43"/>
      <c r="BX246" s="43"/>
      <c r="BY246" s="43"/>
      <c r="BZ246" s="43"/>
      <c r="CA246" s="43"/>
      <c r="CB246" s="43"/>
      <c r="CC246" s="43"/>
      <c r="CD246" s="43"/>
      <c r="CE246" s="43"/>
    </row>
    <row r="247" spans="1:83" ht="14.25" customHeight="1" x14ac:dyDescent="0.25">
      <c r="A247" s="47"/>
      <c r="B247" s="47"/>
      <c r="C247" s="47"/>
      <c r="D247" s="47"/>
      <c r="F247" s="47"/>
      <c r="G247" s="47"/>
      <c r="H247" s="43"/>
      <c r="I247" s="43"/>
      <c r="J247" s="43"/>
      <c r="K247" s="43"/>
      <c r="L247" s="43"/>
      <c r="M247" s="44"/>
      <c r="N247" s="44"/>
      <c r="O247" s="44"/>
      <c r="P247" s="44"/>
      <c r="Q247" s="44"/>
      <c r="R247" s="44"/>
      <c r="S247" s="44"/>
      <c r="T247" s="45"/>
      <c r="U247" s="45"/>
      <c r="V247" s="45"/>
      <c r="W247" s="45"/>
      <c r="X247" s="45"/>
      <c r="Y247" s="45"/>
      <c r="Z247" s="45"/>
      <c r="AA247" s="45"/>
      <c r="AB247" s="44"/>
      <c r="AC247" s="44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  <c r="BJ247" s="43"/>
      <c r="BK247" s="43"/>
      <c r="BL247" s="43"/>
      <c r="BM247" s="43"/>
      <c r="BN247" s="43"/>
      <c r="BO247" s="43"/>
      <c r="BP247" s="43"/>
      <c r="BQ247" s="43"/>
      <c r="BR247" s="43"/>
      <c r="BS247" s="43"/>
      <c r="BT247" s="43"/>
      <c r="BU247" s="43"/>
      <c r="BV247" s="43"/>
      <c r="BW247" s="43"/>
      <c r="BX247" s="43"/>
      <c r="BY247" s="43"/>
      <c r="BZ247" s="43"/>
      <c r="CA247" s="43"/>
      <c r="CB247" s="43"/>
      <c r="CC247" s="43"/>
      <c r="CD247" s="43"/>
      <c r="CE247" s="43"/>
    </row>
    <row r="248" spans="1:83" ht="14.25" customHeight="1" x14ac:dyDescent="0.25">
      <c r="A248" s="47"/>
      <c r="B248" s="47"/>
      <c r="C248" s="47"/>
      <c r="D248" s="47"/>
      <c r="E248" s="47"/>
      <c r="F248" s="47"/>
      <c r="G248" s="47"/>
      <c r="H248" s="43"/>
      <c r="I248" s="43"/>
      <c r="J248" s="43"/>
      <c r="K248" s="43"/>
      <c r="L248" s="43"/>
      <c r="M248" s="44"/>
      <c r="N248" s="44"/>
      <c r="O248" s="44"/>
      <c r="P248" s="44"/>
      <c r="Q248" s="44"/>
      <c r="R248" s="44"/>
      <c r="S248" s="44"/>
      <c r="T248" s="45"/>
      <c r="U248" s="45"/>
      <c r="V248" s="45"/>
      <c r="W248" s="45"/>
      <c r="X248" s="45"/>
      <c r="Y248" s="45"/>
      <c r="Z248" s="45"/>
      <c r="AA248" s="45"/>
      <c r="AB248" s="44"/>
      <c r="AC248" s="44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  <c r="BJ248" s="43"/>
      <c r="BK248" s="43"/>
      <c r="BL248" s="43"/>
      <c r="BM248" s="43"/>
      <c r="BN248" s="43"/>
      <c r="BO248" s="43"/>
      <c r="BP248" s="43"/>
      <c r="BQ248" s="43"/>
      <c r="BR248" s="43"/>
      <c r="BS248" s="43"/>
      <c r="BT248" s="43"/>
      <c r="BU248" s="43"/>
      <c r="BV248" s="43"/>
      <c r="BW248" s="43"/>
      <c r="BX248" s="43"/>
      <c r="BY248" s="43"/>
      <c r="BZ248" s="43"/>
      <c r="CA248" s="43"/>
      <c r="CB248" s="43"/>
      <c r="CC248" s="43"/>
      <c r="CD248" s="43"/>
      <c r="CE248" s="43"/>
    </row>
    <row r="249" spans="1:83" ht="14.25" customHeight="1" x14ac:dyDescent="0.25">
      <c r="A249" s="47"/>
      <c r="B249" s="47"/>
      <c r="C249" s="47"/>
      <c r="D249" s="47"/>
      <c r="E249" s="47"/>
      <c r="F249" s="47"/>
      <c r="G249" s="47"/>
      <c r="H249" s="43"/>
      <c r="I249" s="43"/>
      <c r="J249" s="43"/>
      <c r="K249" s="43"/>
      <c r="L249" s="43"/>
      <c r="M249" s="44"/>
      <c r="N249" s="44"/>
      <c r="O249" s="44"/>
      <c r="P249" s="44"/>
      <c r="Q249" s="44"/>
      <c r="R249" s="44"/>
      <c r="S249" s="44"/>
      <c r="T249" s="45"/>
      <c r="U249" s="45"/>
      <c r="V249" s="45"/>
      <c r="W249" s="45"/>
      <c r="X249" s="45"/>
      <c r="Y249" s="45"/>
      <c r="Z249" s="45"/>
      <c r="AA249" s="45"/>
      <c r="AB249" s="44"/>
      <c r="AC249" s="44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  <c r="BJ249" s="43"/>
      <c r="BK249" s="43"/>
      <c r="BL249" s="43"/>
      <c r="BM249" s="43"/>
      <c r="BN249" s="43"/>
      <c r="BO249" s="43"/>
      <c r="BP249" s="43"/>
      <c r="BQ249" s="43"/>
      <c r="BR249" s="43"/>
      <c r="BS249" s="43"/>
      <c r="BT249" s="43"/>
      <c r="BU249" s="43"/>
      <c r="BV249" s="43"/>
      <c r="BW249" s="43"/>
      <c r="BX249" s="43"/>
      <c r="BY249" s="43"/>
      <c r="BZ249" s="43"/>
      <c r="CA249" s="43"/>
      <c r="CB249" s="43"/>
      <c r="CC249" s="43"/>
      <c r="CD249" s="43"/>
      <c r="CE249" s="43"/>
    </row>
    <row r="250" spans="1:83" ht="14.25" customHeight="1" x14ac:dyDescent="0.25">
      <c r="A250" s="47"/>
      <c r="B250" s="47"/>
      <c r="C250" s="47"/>
      <c r="D250" s="47"/>
      <c r="E250" s="47"/>
      <c r="F250" s="47"/>
      <c r="G250" s="47"/>
      <c r="H250" s="43"/>
      <c r="I250" s="43"/>
      <c r="J250" s="43"/>
      <c r="K250" s="43"/>
      <c r="L250" s="43"/>
      <c r="M250" s="44"/>
      <c r="N250" s="44"/>
      <c r="O250" s="44"/>
      <c r="P250" s="44"/>
      <c r="Q250" s="44"/>
      <c r="R250" s="44"/>
      <c r="S250" s="44"/>
      <c r="T250" s="45"/>
      <c r="U250" s="45"/>
      <c r="V250" s="45"/>
      <c r="W250" s="45"/>
      <c r="X250" s="45"/>
      <c r="Y250" s="45"/>
      <c r="Z250" s="45"/>
      <c r="AA250" s="45"/>
      <c r="AB250" s="44"/>
      <c r="AC250" s="44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  <c r="BJ250" s="43"/>
      <c r="BK250" s="43"/>
      <c r="BL250" s="43"/>
      <c r="BM250" s="43"/>
      <c r="BN250" s="43"/>
      <c r="BO250" s="43"/>
      <c r="BP250" s="43"/>
      <c r="BQ250" s="43"/>
      <c r="BR250" s="43"/>
      <c r="BS250" s="43"/>
      <c r="BT250" s="43"/>
      <c r="BU250" s="43"/>
      <c r="BV250" s="43"/>
      <c r="BW250" s="43"/>
      <c r="BX250" s="43"/>
      <c r="BY250" s="43"/>
      <c r="BZ250" s="43"/>
      <c r="CA250" s="43"/>
      <c r="CB250" s="43"/>
      <c r="CC250" s="43"/>
      <c r="CD250" s="43"/>
      <c r="CE250" s="43"/>
    </row>
    <row r="251" spans="1:83" ht="14.25" customHeight="1" x14ac:dyDescent="0.25">
      <c r="A251" s="47"/>
      <c r="B251" s="47"/>
      <c r="C251" s="47"/>
      <c r="D251" s="47"/>
      <c r="E251" s="47"/>
      <c r="F251" s="47"/>
      <c r="G251" s="47"/>
      <c r="H251" s="43"/>
      <c r="I251" s="43"/>
      <c r="J251" s="43"/>
      <c r="K251" s="43"/>
      <c r="L251" s="43"/>
      <c r="M251" s="44"/>
      <c r="N251" s="44"/>
      <c r="O251" s="44"/>
      <c r="P251" s="44"/>
      <c r="Q251" s="44"/>
      <c r="R251" s="44"/>
      <c r="S251" s="44"/>
      <c r="T251" s="45"/>
      <c r="U251" s="45"/>
      <c r="V251" s="45"/>
      <c r="W251" s="45"/>
      <c r="X251" s="45"/>
      <c r="Y251" s="45"/>
      <c r="Z251" s="45"/>
      <c r="AA251" s="45"/>
      <c r="AB251" s="44"/>
      <c r="AC251" s="44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  <c r="BJ251" s="43"/>
      <c r="BK251" s="43"/>
      <c r="BL251" s="43"/>
      <c r="BM251" s="43"/>
      <c r="BN251" s="43"/>
      <c r="BO251" s="43"/>
      <c r="BP251" s="43"/>
      <c r="BQ251" s="43"/>
      <c r="BR251" s="43"/>
      <c r="BS251" s="43"/>
      <c r="BT251" s="43"/>
      <c r="BU251" s="43"/>
      <c r="BV251" s="43"/>
      <c r="BW251" s="43"/>
      <c r="BX251" s="43"/>
      <c r="BY251" s="43"/>
      <c r="BZ251" s="43"/>
      <c r="CA251" s="43"/>
      <c r="CB251" s="43"/>
      <c r="CC251" s="43"/>
      <c r="CD251" s="43"/>
      <c r="CE251" s="43"/>
    </row>
    <row r="252" spans="1:83" ht="14.25" customHeight="1" x14ac:dyDescent="0.25">
      <c r="A252" s="47"/>
      <c r="B252" s="47"/>
      <c r="C252" s="47"/>
      <c r="D252" s="47"/>
      <c r="E252" s="47"/>
      <c r="F252" s="47"/>
      <c r="G252" s="47"/>
      <c r="H252" s="43"/>
      <c r="I252" s="43"/>
      <c r="J252" s="43"/>
      <c r="K252" s="43"/>
      <c r="L252" s="43"/>
      <c r="M252" s="44"/>
      <c r="N252" s="44"/>
      <c r="O252" s="44"/>
      <c r="P252" s="44"/>
      <c r="Q252" s="44"/>
      <c r="R252" s="44"/>
      <c r="S252" s="44"/>
      <c r="T252" s="45"/>
      <c r="U252" s="45"/>
      <c r="V252" s="45"/>
      <c r="W252" s="45"/>
      <c r="X252" s="45"/>
      <c r="Y252" s="45"/>
      <c r="Z252" s="45"/>
      <c r="AA252" s="45"/>
      <c r="AB252" s="44"/>
      <c r="AC252" s="44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  <c r="BJ252" s="43"/>
      <c r="BK252" s="43"/>
      <c r="BL252" s="43"/>
      <c r="BM252" s="43"/>
      <c r="BN252" s="43"/>
      <c r="BO252" s="43"/>
      <c r="BP252" s="43"/>
      <c r="BQ252" s="43"/>
      <c r="BR252" s="43"/>
      <c r="BS252" s="43"/>
      <c r="BT252" s="43"/>
      <c r="BU252" s="43"/>
      <c r="BV252" s="43"/>
      <c r="BW252" s="43"/>
      <c r="BX252" s="43"/>
      <c r="BY252" s="43"/>
      <c r="BZ252" s="43"/>
      <c r="CA252" s="43"/>
      <c r="CB252" s="43"/>
      <c r="CC252" s="43"/>
      <c r="CD252" s="43"/>
      <c r="CE252" s="43"/>
    </row>
    <row r="253" spans="1:83" ht="14.25" customHeight="1" x14ac:dyDescent="0.25">
      <c r="A253" s="47"/>
      <c r="B253" s="47"/>
      <c r="C253" s="47"/>
      <c r="D253" s="47"/>
      <c r="E253" s="47"/>
      <c r="F253" s="47"/>
      <c r="G253" s="47"/>
      <c r="H253" s="43"/>
      <c r="I253" s="43"/>
      <c r="J253" s="43"/>
      <c r="K253" s="43"/>
      <c r="L253" s="43"/>
      <c r="M253" s="44"/>
      <c r="N253" s="44"/>
      <c r="O253" s="44"/>
      <c r="P253" s="44"/>
      <c r="Q253" s="44"/>
      <c r="R253" s="44"/>
      <c r="S253" s="44"/>
      <c r="T253" s="45"/>
      <c r="U253" s="45"/>
      <c r="V253" s="45"/>
      <c r="W253" s="45"/>
      <c r="X253" s="45"/>
      <c r="Y253" s="45"/>
      <c r="Z253" s="45"/>
      <c r="AA253" s="45"/>
      <c r="AB253" s="44"/>
      <c r="AC253" s="44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  <c r="BJ253" s="43"/>
      <c r="BK253" s="43"/>
      <c r="BL253" s="43"/>
      <c r="BM253" s="43"/>
      <c r="BN253" s="43"/>
      <c r="BO253" s="43"/>
      <c r="BP253" s="43"/>
      <c r="BQ253" s="43"/>
      <c r="BR253" s="43"/>
      <c r="BS253" s="43"/>
      <c r="BT253" s="43"/>
      <c r="BU253" s="43"/>
      <c r="BV253" s="43"/>
      <c r="BW253" s="43"/>
      <c r="BX253" s="43"/>
      <c r="BY253" s="43"/>
      <c r="BZ253" s="43"/>
      <c r="CA253" s="43"/>
      <c r="CB253" s="43"/>
      <c r="CC253" s="43"/>
      <c r="CD253" s="43"/>
      <c r="CE253" s="43"/>
    </row>
    <row r="254" spans="1:83" ht="14.25" customHeight="1" x14ac:dyDescent="0.25">
      <c r="A254" s="47"/>
      <c r="B254" s="47"/>
      <c r="C254" s="47"/>
      <c r="D254" s="47"/>
      <c r="E254" s="47"/>
      <c r="F254" s="47"/>
      <c r="G254" s="47"/>
      <c r="H254" s="43"/>
      <c r="I254" s="43"/>
      <c r="J254" s="43"/>
      <c r="K254" s="43"/>
      <c r="L254" s="43"/>
      <c r="M254" s="44"/>
      <c r="N254" s="44"/>
      <c r="O254" s="44"/>
      <c r="P254" s="44"/>
      <c r="Q254" s="44"/>
      <c r="R254" s="44"/>
      <c r="S254" s="44"/>
      <c r="T254" s="45"/>
      <c r="U254" s="45"/>
      <c r="V254" s="45"/>
      <c r="W254" s="45"/>
      <c r="X254" s="45"/>
      <c r="Y254" s="45"/>
      <c r="Z254" s="45"/>
      <c r="AA254" s="45"/>
      <c r="AB254" s="44"/>
      <c r="AC254" s="44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  <c r="BJ254" s="43"/>
      <c r="BK254" s="43"/>
      <c r="BL254" s="43"/>
      <c r="BM254" s="43"/>
      <c r="BN254" s="43"/>
      <c r="BO254" s="43"/>
      <c r="BP254" s="43"/>
      <c r="BQ254" s="43"/>
      <c r="BR254" s="43"/>
      <c r="BS254" s="43"/>
      <c r="BT254" s="43"/>
      <c r="BU254" s="43"/>
      <c r="BV254" s="43"/>
      <c r="BW254" s="43"/>
      <c r="BX254" s="43"/>
      <c r="BY254" s="43"/>
      <c r="BZ254" s="43"/>
      <c r="CA254" s="43"/>
      <c r="CB254" s="43"/>
      <c r="CC254" s="43"/>
      <c r="CD254" s="43"/>
      <c r="CE254" s="43"/>
    </row>
    <row r="255" spans="1:83" ht="14.25" customHeight="1" x14ac:dyDescent="0.25">
      <c r="A255" s="47"/>
      <c r="B255" s="47"/>
      <c r="C255" s="47"/>
      <c r="D255" s="47"/>
      <c r="E255" s="47"/>
      <c r="F255" s="47"/>
      <c r="G255" s="47"/>
      <c r="H255" s="43"/>
      <c r="I255" s="43"/>
      <c r="J255" s="43"/>
      <c r="K255" s="43"/>
      <c r="L255" s="43"/>
      <c r="M255" s="44"/>
      <c r="N255" s="44"/>
      <c r="O255" s="44"/>
      <c r="P255" s="44"/>
      <c r="Q255" s="44"/>
      <c r="R255" s="44"/>
      <c r="S255" s="44"/>
      <c r="T255" s="45"/>
      <c r="U255" s="45"/>
      <c r="V255" s="45"/>
      <c r="W255" s="45"/>
      <c r="X255" s="45"/>
      <c r="Y255" s="45"/>
      <c r="Z255" s="45"/>
      <c r="AA255" s="45"/>
      <c r="AB255" s="44"/>
      <c r="AC255" s="44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  <c r="BJ255" s="43"/>
      <c r="BK255" s="43"/>
      <c r="BL255" s="43"/>
      <c r="BM255" s="43"/>
      <c r="BN255" s="43"/>
      <c r="BO255" s="43"/>
      <c r="BP255" s="43"/>
      <c r="BQ255" s="43"/>
      <c r="BR255" s="43"/>
      <c r="BS255" s="43"/>
      <c r="BT255" s="43"/>
      <c r="BU255" s="43"/>
      <c r="BV255" s="43"/>
      <c r="BW255" s="43"/>
      <c r="BX255" s="43"/>
      <c r="BY255" s="43"/>
      <c r="BZ255" s="43"/>
      <c r="CA255" s="43"/>
      <c r="CB255" s="43"/>
      <c r="CC255" s="43"/>
      <c r="CD255" s="43"/>
      <c r="CE255" s="43"/>
    </row>
    <row r="256" spans="1:83" ht="14.25" customHeight="1" x14ac:dyDescent="0.25">
      <c r="A256" s="47"/>
      <c r="B256" s="47"/>
      <c r="C256" s="47"/>
      <c r="D256" s="47"/>
      <c r="E256" s="47"/>
      <c r="F256" s="47"/>
      <c r="G256" s="47"/>
      <c r="H256" s="43"/>
      <c r="I256" s="43"/>
      <c r="J256" s="43"/>
      <c r="K256" s="43"/>
      <c r="L256" s="43"/>
      <c r="M256" s="44"/>
      <c r="N256" s="44"/>
      <c r="O256" s="44"/>
      <c r="P256" s="44"/>
      <c r="Q256" s="44"/>
      <c r="R256" s="44"/>
      <c r="S256" s="44"/>
      <c r="T256" s="45"/>
      <c r="U256" s="45"/>
      <c r="V256" s="45"/>
      <c r="W256" s="45"/>
      <c r="X256" s="45"/>
      <c r="Y256" s="45"/>
      <c r="Z256" s="45"/>
      <c r="AA256" s="45"/>
      <c r="AB256" s="44"/>
      <c r="AC256" s="44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  <c r="BJ256" s="43"/>
      <c r="BK256" s="43"/>
      <c r="BL256" s="43"/>
      <c r="BM256" s="43"/>
      <c r="BN256" s="43"/>
      <c r="BO256" s="43"/>
      <c r="BP256" s="43"/>
      <c r="BQ256" s="43"/>
      <c r="BR256" s="43"/>
      <c r="BS256" s="43"/>
      <c r="BT256" s="43"/>
      <c r="BU256" s="43"/>
      <c r="BV256" s="43"/>
      <c r="BW256" s="43"/>
      <c r="BX256" s="43"/>
      <c r="BY256" s="43"/>
      <c r="BZ256" s="43"/>
      <c r="CA256" s="43"/>
      <c r="CB256" s="43"/>
      <c r="CC256" s="43"/>
      <c r="CD256" s="43"/>
      <c r="CE256" s="43"/>
    </row>
    <row r="257" spans="1:83" ht="14.25" customHeight="1" x14ac:dyDescent="0.25">
      <c r="A257" s="47"/>
      <c r="B257" s="47"/>
      <c r="C257" s="47"/>
      <c r="D257" s="47"/>
      <c r="E257" s="47"/>
      <c r="F257" s="47"/>
      <c r="G257" s="47"/>
      <c r="H257" s="43"/>
      <c r="I257" s="43"/>
      <c r="J257" s="43"/>
      <c r="K257" s="43"/>
      <c r="L257" s="43"/>
      <c r="M257" s="44"/>
      <c r="N257" s="44"/>
      <c r="O257" s="44"/>
      <c r="P257" s="44"/>
      <c r="Q257" s="44"/>
      <c r="R257" s="44"/>
      <c r="S257" s="44"/>
      <c r="T257" s="45"/>
      <c r="U257" s="45"/>
      <c r="V257" s="45"/>
      <c r="W257" s="45"/>
      <c r="X257" s="45"/>
      <c r="Y257" s="45"/>
      <c r="Z257" s="45"/>
      <c r="AA257" s="45"/>
      <c r="AB257" s="44"/>
      <c r="AC257" s="44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  <c r="BJ257" s="43"/>
      <c r="BK257" s="43"/>
      <c r="BL257" s="43"/>
      <c r="BM257" s="43"/>
      <c r="BN257" s="43"/>
      <c r="BO257" s="43"/>
      <c r="BP257" s="43"/>
      <c r="BQ257" s="43"/>
      <c r="BR257" s="43"/>
      <c r="BS257" s="43"/>
      <c r="BT257" s="43"/>
      <c r="BU257" s="43"/>
      <c r="BV257" s="43"/>
      <c r="BW257" s="43"/>
      <c r="BX257" s="43"/>
      <c r="BY257" s="43"/>
      <c r="BZ257" s="43"/>
      <c r="CA257" s="43"/>
      <c r="CB257" s="43"/>
      <c r="CC257" s="43"/>
      <c r="CD257" s="43"/>
      <c r="CE257" s="43"/>
    </row>
    <row r="258" spans="1:83" ht="14.25" customHeight="1" x14ac:dyDescent="0.25">
      <c r="A258" s="47"/>
      <c r="B258" s="47"/>
      <c r="C258" s="47"/>
      <c r="D258" s="47"/>
      <c r="E258" s="47"/>
      <c r="F258" s="47"/>
      <c r="G258" s="47"/>
      <c r="H258" s="43"/>
      <c r="I258" s="43"/>
      <c r="J258" s="43"/>
      <c r="K258" s="43"/>
      <c r="L258" s="43"/>
      <c r="M258" s="44"/>
      <c r="N258" s="44"/>
      <c r="O258" s="44"/>
      <c r="P258" s="44"/>
      <c r="Q258" s="44"/>
      <c r="R258" s="44"/>
      <c r="S258" s="44"/>
      <c r="T258" s="45"/>
      <c r="U258" s="45"/>
      <c r="V258" s="45"/>
      <c r="W258" s="45"/>
      <c r="X258" s="45"/>
      <c r="Y258" s="45"/>
      <c r="Z258" s="45"/>
      <c r="AA258" s="45"/>
      <c r="AB258" s="44"/>
      <c r="AC258" s="44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  <c r="BJ258" s="43"/>
      <c r="BK258" s="43"/>
      <c r="BL258" s="43"/>
      <c r="BM258" s="43"/>
      <c r="BN258" s="43"/>
      <c r="BO258" s="43"/>
      <c r="BP258" s="43"/>
      <c r="BQ258" s="43"/>
      <c r="BR258" s="43"/>
      <c r="BS258" s="43"/>
      <c r="BT258" s="43"/>
      <c r="BU258" s="43"/>
      <c r="BV258" s="43"/>
      <c r="BW258" s="43"/>
      <c r="BX258" s="43"/>
      <c r="BY258" s="43"/>
      <c r="BZ258" s="43"/>
      <c r="CA258" s="43"/>
      <c r="CB258" s="43"/>
      <c r="CC258" s="43"/>
      <c r="CD258" s="43"/>
      <c r="CE258" s="43"/>
    </row>
    <row r="259" spans="1:83" ht="14.25" customHeight="1" x14ac:dyDescent="0.25">
      <c r="A259" s="47"/>
      <c r="B259" s="47"/>
      <c r="C259" s="47"/>
      <c r="D259" s="47"/>
      <c r="E259" s="47"/>
      <c r="F259" s="47"/>
      <c r="G259" s="47"/>
      <c r="H259" s="43"/>
      <c r="I259" s="43"/>
      <c r="J259" s="43"/>
      <c r="K259" s="43"/>
      <c r="L259" s="43"/>
      <c r="M259" s="44"/>
      <c r="N259" s="44"/>
      <c r="O259" s="44"/>
      <c r="P259" s="44"/>
      <c r="Q259" s="44"/>
      <c r="R259" s="44"/>
      <c r="S259" s="44"/>
      <c r="T259" s="45"/>
      <c r="U259" s="45"/>
      <c r="V259" s="45"/>
      <c r="W259" s="45"/>
      <c r="X259" s="45"/>
      <c r="Y259" s="45"/>
      <c r="Z259" s="45"/>
      <c r="AA259" s="45"/>
      <c r="AB259" s="44"/>
      <c r="AC259" s="44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  <c r="BJ259" s="43"/>
      <c r="BK259" s="43"/>
      <c r="BL259" s="43"/>
      <c r="BM259" s="43"/>
      <c r="BN259" s="43"/>
      <c r="BO259" s="43"/>
      <c r="BP259" s="43"/>
      <c r="BQ259" s="43"/>
      <c r="BR259" s="43"/>
      <c r="BS259" s="43"/>
      <c r="BT259" s="43"/>
      <c r="BU259" s="43"/>
      <c r="BV259" s="43"/>
      <c r="BW259" s="43"/>
      <c r="BX259" s="43"/>
      <c r="BY259" s="43"/>
      <c r="BZ259" s="43"/>
      <c r="CA259" s="43"/>
      <c r="CB259" s="43"/>
      <c r="CC259" s="43"/>
      <c r="CD259" s="43"/>
      <c r="CE259" s="43"/>
    </row>
    <row r="260" spans="1:83" ht="14.25" customHeight="1" x14ac:dyDescent="0.25">
      <c r="A260" s="47"/>
      <c r="B260" s="47"/>
      <c r="C260" s="47"/>
      <c r="D260" s="47"/>
      <c r="E260" s="47"/>
      <c r="F260" s="47"/>
      <c r="G260" s="47"/>
      <c r="H260" s="43"/>
      <c r="I260" s="43"/>
      <c r="J260" s="43"/>
      <c r="K260" s="43"/>
      <c r="L260" s="43"/>
      <c r="M260" s="44"/>
      <c r="N260" s="44"/>
      <c r="O260" s="44"/>
      <c r="P260" s="44"/>
      <c r="Q260" s="44"/>
      <c r="R260" s="44"/>
      <c r="S260" s="44"/>
      <c r="T260" s="45"/>
      <c r="U260" s="45"/>
      <c r="V260" s="45"/>
      <c r="W260" s="45"/>
      <c r="X260" s="45"/>
      <c r="Y260" s="45"/>
      <c r="Z260" s="45"/>
      <c r="AA260" s="45"/>
      <c r="AB260" s="44"/>
      <c r="AC260" s="44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  <c r="BJ260" s="43"/>
      <c r="BK260" s="43"/>
      <c r="BL260" s="43"/>
      <c r="BM260" s="43"/>
      <c r="BN260" s="43"/>
      <c r="BO260" s="43"/>
      <c r="BP260" s="43"/>
      <c r="BQ260" s="43"/>
      <c r="BR260" s="43"/>
      <c r="BS260" s="43"/>
      <c r="BT260" s="43"/>
      <c r="BU260" s="43"/>
      <c r="BV260" s="43"/>
      <c r="BW260" s="43"/>
      <c r="BX260" s="43"/>
      <c r="BY260" s="43"/>
      <c r="BZ260" s="43"/>
      <c r="CA260" s="43"/>
      <c r="CB260" s="43"/>
      <c r="CC260" s="43"/>
      <c r="CD260" s="43"/>
      <c r="CE260" s="43"/>
    </row>
    <row r="261" spans="1:83" ht="14.25" customHeight="1" x14ac:dyDescent="0.25">
      <c r="A261" s="47"/>
      <c r="B261" s="47"/>
      <c r="C261" s="47"/>
      <c r="D261" s="47"/>
      <c r="E261" s="47"/>
      <c r="F261" s="47"/>
      <c r="G261" s="47"/>
      <c r="H261" s="43"/>
      <c r="I261" s="43"/>
      <c r="J261" s="43"/>
      <c r="K261" s="43"/>
      <c r="L261" s="43"/>
      <c r="M261" s="44"/>
      <c r="N261" s="44"/>
      <c r="O261" s="44"/>
      <c r="P261" s="44"/>
      <c r="Q261" s="44"/>
      <c r="R261" s="44"/>
      <c r="S261" s="44"/>
      <c r="T261" s="45"/>
      <c r="U261" s="45"/>
      <c r="V261" s="45"/>
      <c r="W261" s="45"/>
      <c r="X261" s="45"/>
      <c r="Y261" s="45"/>
      <c r="Z261" s="45"/>
      <c r="AA261" s="45"/>
      <c r="AB261" s="44"/>
      <c r="AC261" s="44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  <c r="BJ261" s="43"/>
      <c r="BK261" s="43"/>
      <c r="BL261" s="43"/>
      <c r="BM261" s="43"/>
      <c r="BN261" s="43"/>
      <c r="BO261" s="43"/>
      <c r="BP261" s="43"/>
      <c r="BQ261" s="43"/>
      <c r="BR261" s="43"/>
      <c r="BS261" s="43"/>
      <c r="BT261" s="43"/>
      <c r="BU261" s="43"/>
      <c r="BV261" s="43"/>
      <c r="BW261" s="43"/>
      <c r="BX261" s="43"/>
      <c r="BY261" s="43"/>
      <c r="BZ261" s="43"/>
      <c r="CA261" s="43"/>
      <c r="CB261" s="43"/>
      <c r="CC261" s="43"/>
      <c r="CD261" s="43"/>
      <c r="CE261" s="43"/>
    </row>
    <row r="262" spans="1:83" ht="14.25" customHeight="1" x14ac:dyDescent="0.25">
      <c r="A262" s="47"/>
      <c r="B262" s="47"/>
      <c r="C262" s="47"/>
      <c r="D262" s="47"/>
      <c r="E262" s="47"/>
      <c r="F262" s="47"/>
      <c r="G262" s="47"/>
      <c r="H262" s="43"/>
      <c r="I262" s="43"/>
      <c r="J262" s="43"/>
      <c r="K262" s="43"/>
      <c r="L262" s="43"/>
      <c r="M262" s="44"/>
      <c r="N262" s="44"/>
      <c r="O262" s="44"/>
      <c r="P262" s="44"/>
      <c r="Q262" s="44"/>
      <c r="R262" s="44"/>
      <c r="S262" s="44"/>
      <c r="T262" s="45"/>
      <c r="U262" s="45"/>
      <c r="V262" s="45"/>
      <c r="W262" s="45"/>
      <c r="X262" s="45"/>
      <c r="Y262" s="45"/>
      <c r="Z262" s="45"/>
      <c r="AA262" s="45"/>
      <c r="AB262" s="44"/>
      <c r="AC262" s="44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  <c r="BJ262" s="43"/>
      <c r="BK262" s="43"/>
      <c r="BL262" s="43"/>
      <c r="BM262" s="43"/>
      <c r="BN262" s="43"/>
      <c r="BO262" s="43"/>
      <c r="BP262" s="43"/>
      <c r="BQ262" s="43"/>
      <c r="BR262" s="43"/>
      <c r="BS262" s="43"/>
      <c r="BT262" s="43"/>
      <c r="BU262" s="43"/>
      <c r="BV262" s="43"/>
      <c r="BW262" s="43"/>
      <c r="BX262" s="43"/>
      <c r="BY262" s="43"/>
      <c r="BZ262" s="43"/>
      <c r="CA262" s="43"/>
      <c r="CB262" s="43"/>
      <c r="CC262" s="43"/>
      <c r="CD262" s="43"/>
      <c r="CE262" s="43"/>
    </row>
    <row r="263" spans="1:83" ht="14.25" customHeight="1" x14ac:dyDescent="0.25">
      <c r="A263" s="47"/>
      <c r="B263" s="47"/>
      <c r="C263" s="47"/>
      <c r="D263" s="47"/>
      <c r="E263" s="47"/>
      <c r="F263" s="47"/>
      <c r="G263" s="47"/>
      <c r="H263" s="43"/>
      <c r="I263" s="43"/>
      <c r="J263" s="43"/>
      <c r="K263" s="43"/>
      <c r="L263" s="43"/>
      <c r="M263" s="44"/>
      <c r="N263" s="44"/>
      <c r="O263" s="44"/>
      <c r="P263" s="44"/>
      <c r="Q263" s="44"/>
      <c r="R263" s="44"/>
      <c r="S263" s="44"/>
      <c r="T263" s="45"/>
      <c r="U263" s="45"/>
      <c r="V263" s="45"/>
      <c r="W263" s="45"/>
      <c r="X263" s="45"/>
      <c r="Y263" s="45"/>
      <c r="Z263" s="45"/>
      <c r="AA263" s="45"/>
      <c r="AB263" s="44"/>
      <c r="AC263" s="44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  <c r="BJ263" s="43"/>
      <c r="BK263" s="43"/>
      <c r="BL263" s="43"/>
      <c r="BM263" s="43"/>
      <c r="BN263" s="43"/>
      <c r="BO263" s="43"/>
      <c r="BP263" s="43"/>
      <c r="BQ263" s="43"/>
      <c r="BR263" s="43"/>
      <c r="BS263" s="43"/>
      <c r="BT263" s="43"/>
      <c r="BU263" s="43"/>
      <c r="BV263" s="43"/>
      <c r="BW263" s="43"/>
      <c r="BX263" s="43"/>
      <c r="BY263" s="43"/>
      <c r="BZ263" s="43"/>
      <c r="CA263" s="43"/>
      <c r="CB263" s="43"/>
      <c r="CC263" s="43"/>
      <c r="CD263" s="43"/>
      <c r="CE263" s="43"/>
    </row>
    <row r="264" spans="1:83" ht="14.25" customHeight="1" x14ac:dyDescent="0.25">
      <c r="A264" s="47"/>
      <c r="B264" s="47"/>
      <c r="C264" s="47"/>
      <c r="D264" s="47"/>
      <c r="E264" s="47"/>
      <c r="F264" s="47"/>
      <c r="G264" s="47"/>
      <c r="H264" s="43"/>
      <c r="I264" s="43"/>
      <c r="J264" s="43"/>
      <c r="K264" s="43"/>
      <c r="L264" s="43"/>
      <c r="M264" s="44"/>
      <c r="N264" s="44"/>
      <c r="O264" s="44"/>
      <c r="P264" s="44"/>
      <c r="Q264" s="44"/>
      <c r="R264" s="44"/>
      <c r="S264" s="44"/>
      <c r="T264" s="45"/>
      <c r="U264" s="45"/>
      <c r="V264" s="45"/>
      <c r="W264" s="45"/>
      <c r="X264" s="45"/>
      <c r="Y264" s="45"/>
      <c r="Z264" s="45"/>
      <c r="AA264" s="45"/>
      <c r="AB264" s="44"/>
      <c r="AC264" s="44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  <c r="BJ264" s="43"/>
      <c r="BK264" s="43"/>
      <c r="BL264" s="43"/>
      <c r="BM264" s="43"/>
      <c r="BN264" s="43"/>
      <c r="BO264" s="43"/>
      <c r="BP264" s="43"/>
      <c r="BQ264" s="43"/>
      <c r="BR264" s="43"/>
      <c r="BS264" s="43"/>
      <c r="BT264" s="43"/>
      <c r="BU264" s="43"/>
      <c r="BV264" s="43"/>
      <c r="BW264" s="43"/>
      <c r="BX264" s="43"/>
      <c r="BY264" s="43"/>
      <c r="BZ264" s="43"/>
      <c r="CA264" s="43"/>
      <c r="CB264" s="43"/>
      <c r="CC264" s="43"/>
      <c r="CD264" s="43"/>
      <c r="CE264" s="43"/>
    </row>
    <row r="265" spans="1:83" ht="14.25" customHeight="1" x14ac:dyDescent="0.25">
      <c r="A265" s="47"/>
      <c r="B265" s="47"/>
      <c r="C265" s="47"/>
      <c r="D265" s="47"/>
      <c r="E265" s="47"/>
      <c r="F265" s="47"/>
      <c r="G265" s="47"/>
      <c r="H265" s="43"/>
      <c r="I265" s="43"/>
      <c r="J265" s="43"/>
      <c r="K265" s="43"/>
      <c r="L265" s="43"/>
      <c r="M265" s="44"/>
      <c r="N265" s="44"/>
      <c r="O265" s="44"/>
      <c r="P265" s="44"/>
      <c r="Q265" s="44"/>
      <c r="R265" s="44"/>
      <c r="S265" s="44"/>
      <c r="T265" s="45"/>
      <c r="U265" s="45"/>
      <c r="V265" s="45"/>
      <c r="W265" s="45"/>
      <c r="X265" s="45"/>
      <c r="Y265" s="45"/>
      <c r="Z265" s="45"/>
      <c r="AA265" s="45"/>
      <c r="AB265" s="44"/>
      <c r="AC265" s="44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3"/>
      <c r="BM265" s="43"/>
      <c r="BN265" s="43"/>
      <c r="BO265" s="43"/>
      <c r="BP265" s="43"/>
      <c r="BQ265" s="43"/>
      <c r="BR265" s="43"/>
      <c r="BS265" s="43"/>
      <c r="BT265" s="43"/>
      <c r="BU265" s="43"/>
      <c r="BV265" s="43"/>
      <c r="BW265" s="43"/>
      <c r="BX265" s="43"/>
      <c r="BY265" s="43"/>
      <c r="BZ265" s="43"/>
      <c r="CA265" s="43"/>
      <c r="CB265" s="43"/>
      <c r="CC265" s="43"/>
      <c r="CD265" s="43"/>
      <c r="CE265" s="43"/>
    </row>
    <row r="266" spans="1:83" ht="14.25" customHeight="1" x14ac:dyDescent="0.25">
      <c r="A266" s="47"/>
      <c r="B266" s="47"/>
      <c r="C266" s="47"/>
      <c r="D266" s="47"/>
      <c r="E266" s="47"/>
      <c r="F266" s="47"/>
      <c r="G266" s="47"/>
      <c r="H266" s="43"/>
      <c r="I266" s="43"/>
      <c r="J266" s="43"/>
      <c r="K266" s="43"/>
      <c r="L266" s="43"/>
      <c r="M266" s="44"/>
      <c r="N266" s="44"/>
      <c r="O266" s="44"/>
      <c r="P266" s="44"/>
      <c r="Q266" s="44"/>
      <c r="R266" s="44"/>
      <c r="S266" s="44"/>
      <c r="T266" s="45"/>
      <c r="U266" s="45"/>
      <c r="V266" s="45"/>
      <c r="W266" s="45"/>
      <c r="X266" s="45"/>
      <c r="Y266" s="45"/>
      <c r="Z266" s="45"/>
      <c r="AA266" s="45"/>
      <c r="AB266" s="44"/>
      <c r="AC266" s="44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  <c r="BJ266" s="43"/>
      <c r="BK266" s="43"/>
      <c r="BL266" s="43"/>
      <c r="BM266" s="43"/>
      <c r="BN266" s="43"/>
      <c r="BO266" s="43"/>
      <c r="BP266" s="43"/>
      <c r="BQ266" s="43"/>
      <c r="BR266" s="43"/>
      <c r="BS266" s="43"/>
      <c r="BT266" s="43"/>
      <c r="BU266" s="43"/>
      <c r="BV266" s="43"/>
      <c r="BW266" s="43"/>
      <c r="BX266" s="43"/>
      <c r="BY266" s="43"/>
      <c r="BZ266" s="43"/>
      <c r="CA266" s="43"/>
      <c r="CB266" s="43"/>
      <c r="CC266" s="43"/>
      <c r="CD266" s="43"/>
      <c r="CE266" s="43"/>
    </row>
    <row r="267" spans="1:83" ht="14.25" customHeight="1" x14ac:dyDescent="0.25">
      <c r="A267" s="47"/>
      <c r="B267" s="47"/>
      <c r="C267" s="47"/>
      <c r="D267" s="47"/>
      <c r="E267" s="47"/>
      <c r="F267" s="47"/>
      <c r="G267" s="47"/>
      <c r="H267" s="43"/>
      <c r="I267" s="43"/>
      <c r="J267" s="43"/>
      <c r="K267" s="43"/>
      <c r="L267" s="43"/>
      <c r="M267" s="44"/>
      <c r="N267" s="44"/>
      <c r="O267" s="44"/>
      <c r="P267" s="44"/>
      <c r="Q267" s="44"/>
      <c r="R267" s="44"/>
      <c r="S267" s="44"/>
      <c r="T267" s="45"/>
      <c r="U267" s="45"/>
      <c r="V267" s="45"/>
      <c r="W267" s="45"/>
      <c r="X267" s="45"/>
      <c r="Y267" s="45"/>
      <c r="Z267" s="45"/>
      <c r="AA267" s="45"/>
      <c r="AB267" s="44"/>
      <c r="AC267" s="44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  <c r="BJ267" s="43"/>
      <c r="BK267" s="43"/>
      <c r="BL267" s="43"/>
      <c r="BM267" s="43"/>
      <c r="BN267" s="43"/>
      <c r="BO267" s="43"/>
      <c r="BP267" s="43"/>
      <c r="BQ267" s="43"/>
      <c r="BR267" s="43"/>
      <c r="BS267" s="43"/>
      <c r="BT267" s="43"/>
      <c r="BU267" s="43"/>
      <c r="BV267" s="43"/>
      <c r="BW267" s="43"/>
      <c r="BX267" s="43"/>
      <c r="BY267" s="43"/>
      <c r="BZ267" s="43"/>
      <c r="CA267" s="43"/>
      <c r="CB267" s="43"/>
      <c r="CC267" s="43"/>
      <c r="CD267" s="43"/>
      <c r="CE267" s="43"/>
    </row>
    <row r="268" spans="1:83" ht="14.25" customHeight="1" x14ac:dyDescent="0.25">
      <c r="A268" s="47"/>
      <c r="B268" s="47"/>
      <c r="C268" s="47"/>
      <c r="D268" s="47"/>
      <c r="E268" s="47"/>
      <c r="F268" s="47"/>
      <c r="G268" s="47"/>
      <c r="H268" s="43"/>
      <c r="I268" s="43"/>
      <c r="J268" s="43"/>
      <c r="K268" s="43"/>
      <c r="L268" s="43"/>
      <c r="M268" s="44"/>
      <c r="N268" s="44"/>
      <c r="O268" s="44"/>
      <c r="P268" s="44"/>
      <c r="Q268" s="44"/>
      <c r="R268" s="44"/>
      <c r="S268" s="44"/>
      <c r="T268" s="45"/>
      <c r="U268" s="45"/>
      <c r="V268" s="45"/>
      <c r="W268" s="45"/>
      <c r="X268" s="45"/>
      <c r="Y268" s="45"/>
      <c r="Z268" s="45"/>
      <c r="AA268" s="45"/>
      <c r="AB268" s="44"/>
      <c r="AC268" s="44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/>
      <c r="BR268" s="43"/>
      <c r="BS268" s="43"/>
      <c r="BT268" s="43"/>
      <c r="BU268" s="43"/>
      <c r="BV268" s="43"/>
      <c r="BW268" s="43"/>
      <c r="BX268" s="43"/>
      <c r="BY268" s="43"/>
      <c r="BZ268" s="43"/>
      <c r="CA268" s="43"/>
      <c r="CB268" s="43"/>
      <c r="CC268" s="43"/>
      <c r="CD268" s="43"/>
      <c r="CE268" s="43"/>
    </row>
    <row r="269" spans="1:83" ht="14.25" customHeight="1" x14ac:dyDescent="0.25">
      <c r="A269" s="47"/>
      <c r="B269" s="47"/>
      <c r="C269" s="47"/>
      <c r="D269" s="47"/>
      <c r="E269" s="47"/>
      <c r="F269" s="47"/>
      <c r="G269" s="47"/>
      <c r="H269" s="43"/>
      <c r="I269" s="43"/>
      <c r="J269" s="43"/>
      <c r="K269" s="43"/>
      <c r="L269" s="43"/>
      <c r="M269" s="44"/>
      <c r="N269" s="44"/>
      <c r="O269" s="44"/>
      <c r="P269" s="44"/>
      <c r="Q269" s="44"/>
      <c r="R269" s="44"/>
      <c r="S269" s="44"/>
      <c r="T269" s="45"/>
      <c r="U269" s="45"/>
      <c r="V269" s="45"/>
      <c r="W269" s="45"/>
      <c r="X269" s="45"/>
      <c r="Y269" s="45"/>
      <c r="Z269" s="45"/>
      <c r="AA269" s="45"/>
      <c r="AB269" s="44"/>
      <c r="AC269" s="44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  <c r="BJ269" s="43"/>
      <c r="BK269" s="43"/>
      <c r="BL269" s="43"/>
      <c r="BM269" s="43"/>
      <c r="BN269" s="43"/>
      <c r="BO269" s="43"/>
      <c r="BP269" s="43"/>
      <c r="BQ269" s="43"/>
      <c r="BR269" s="43"/>
      <c r="BS269" s="43"/>
      <c r="BT269" s="43"/>
      <c r="BU269" s="43"/>
      <c r="BV269" s="43"/>
      <c r="BW269" s="43"/>
      <c r="BX269" s="43"/>
      <c r="BY269" s="43"/>
      <c r="BZ269" s="43"/>
      <c r="CA269" s="43"/>
      <c r="CB269" s="43"/>
      <c r="CC269" s="43"/>
      <c r="CD269" s="43"/>
      <c r="CE269" s="43"/>
    </row>
    <row r="270" spans="1:83" ht="14.25" customHeight="1" x14ac:dyDescent="0.25">
      <c r="A270" s="47"/>
      <c r="B270" s="47"/>
      <c r="C270" s="47"/>
      <c r="D270" s="47"/>
      <c r="E270" s="47"/>
      <c r="F270" s="47"/>
      <c r="G270" s="47"/>
      <c r="H270" s="43"/>
      <c r="I270" s="43"/>
      <c r="J270" s="43"/>
      <c r="K270" s="43"/>
      <c r="L270" s="43"/>
      <c r="M270" s="44"/>
      <c r="N270" s="44"/>
      <c r="O270" s="44"/>
      <c r="P270" s="44"/>
      <c r="Q270" s="44"/>
      <c r="R270" s="44"/>
      <c r="S270" s="44"/>
      <c r="T270" s="45"/>
      <c r="U270" s="45"/>
      <c r="V270" s="45"/>
      <c r="W270" s="45"/>
      <c r="X270" s="45"/>
      <c r="Y270" s="45"/>
      <c r="Z270" s="45"/>
      <c r="AA270" s="45"/>
      <c r="AB270" s="44"/>
      <c r="AC270" s="44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  <c r="BJ270" s="43"/>
      <c r="BK270" s="43"/>
      <c r="BL270" s="43"/>
      <c r="BM270" s="43"/>
      <c r="BN270" s="43"/>
      <c r="BO270" s="43"/>
      <c r="BP270" s="43"/>
      <c r="BQ270" s="43"/>
      <c r="BR270" s="43"/>
      <c r="BS270" s="43"/>
      <c r="BT270" s="43"/>
      <c r="BU270" s="43"/>
      <c r="BV270" s="43"/>
      <c r="BW270" s="43"/>
      <c r="BX270" s="43"/>
      <c r="BY270" s="43"/>
      <c r="BZ270" s="43"/>
      <c r="CA270" s="43"/>
      <c r="CB270" s="43"/>
      <c r="CC270" s="43"/>
      <c r="CD270" s="43"/>
      <c r="CE270" s="43"/>
    </row>
    <row r="271" spans="1:83" ht="14.25" customHeight="1" x14ac:dyDescent="0.25">
      <c r="A271" s="47"/>
      <c r="B271" s="47"/>
      <c r="C271" s="47"/>
      <c r="D271" s="47"/>
      <c r="E271" s="47"/>
      <c r="F271" s="47"/>
      <c r="G271" s="47"/>
      <c r="H271" s="43"/>
      <c r="I271" s="43"/>
      <c r="J271" s="43"/>
      <c r="K271" s="43"/>
      <c r="L271" s="43"/>
      <c r="M271" s="44"/>
      <c r="N271" s="44"/>
      <c r="O271" s="44"/>
      <c r="P271" s="44"/>
      <c r="Q271" s="44"/>
      <c r="R271" s="44"/>
      <c r="S271" s="44"/>
      <c r="T271" s="45"/>
      <c r="U271" s="45"/>
      <c r="V271" s="45"/>
      <c r="W271" s="45"/>
      <c r="X271" s="45"/>
      <c r="Y271" s="45"/>
      <c r="Z271" s="45"/>
      <c r="AA271" s="45"/>
      <c r="AB271" s="44"/>
      <c r="AC271" s="44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  <c r="BJ271" s="43"/>
      <c r="BK271" s="43"/>
      <c r="BL271" s="43"/>
      <c r="BM271" s="43"/>
      <c r="BN271" s="43"/>
      <c r="BO271" s="43"/>
      <c r="BP271" s="43"/>
      <c r="BQ271" s="43"/>
      <c r="BR271" s="43"/>
      <c r="BS271" s="43"/>
      <c r="BT271" s="43"/>
      <c r="BU271" s="43"/>
      <c r="BV271" s="43"/>
      <c r="BW271" s="43"/>
      <c r="BX271" s="43"/>
      <c r="BY271" s="43"/>
      <c r="BZ271" s="43"/>
      <c r="CA271" s="43"/>
      <c r="CB271" s="43"/>
      <c r="CC271" s="43"/>
      <c r="CD271" s="43"/>
      <c r="CE271" s="43"/>
    </row>
    <row r="272" spans="1:83" ht="14.25" customHeight="1" x14ac:dyDescent="0.25">
      <c r="A272" s="47"/>
      <c r="B272" s="47"/>
      <c r="C272" s="47"/>
      <c r="D272" s="47"/>
      <c r="E272" s="47"/>
      <c r="F272" s="47"/>
      <c r="G272" s="47"/>
      <c r="H272" s="43"/>
      <c r="I272" s="43"/>
      <c r="J272" s="43"/>
      <c r="K272" s="43"/>
      <c r="L272" s="43"/>
      <c r="M272" s="44"/>
      <c r="N272" s="44"/>
      <c r="O272" s="44"/>
      <c r="P272" s="44"/>
      <c r="Q272" s="44"/>
      <c r="R272" s="44"/>
      <c r="S272" s="44"/>
      <c r="T272" s="45"/>
      <c r="U272" s="45"/>
      <c r="V272" s="45"/>
      <c r="W272" s="45"/>
      <c r="X272" s="45"/>
      <c r="Y272" s="45"/>
      <c r="Z272" s="45"/>
      <c r="AA272" s="45"/>
      <c r="AB272" s="44"/>
      <c r="AC272" s="44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  <c r="BJ272" s="43"/>
      <c r="BK272" s="43"/>
      <c r="BL272" s="43"/>
      <c r="BM272" s="43"/>
      <c r="BN272" s="43"/>
      <c r="BO272" s="43"/>
      <c r="BP272" s="43"/>
      <c r="BQ272" s="43"/>
      <c r="BR272" s="43"/>
      <c r="BS272" s="43"/>
      <c r="BT272" s="43"/>
      <c r="BU272" s="43"/>
      <c r="BV272" s="43"/>
      <c r="BW272" s="43"/>
      <c r="BX272" s="43"/>
      <c r="BY272" s="43"/>
      <c r="BZ272" s="43"/>
      <c r="CA272" s="43"/>
      <c r="CB272" s="43"/>
      <c r="CC272" s="43"/>
      <c r="CD272" s="43"/>
      <c r="CE272" s="43"/>
    </row>
    <row r="273" spans="1:83" ht="14.25" customHeight="1" x14ac:dyDescent="0.25">
      <c r="A273" s="47"/>
      <c r="B273" s="47"/>
      <c r="C273" s="47"/>
      <c r="D273" s="47"/>
      <c r="E273" s="47"/>
      <c r="F273" s="47"/>
      <c r="G273" s="47"/>
      <c r="H273" s="43"/>
      <c r="I273" s="43"/>
      <c r="J273" s="43"/>
      <c r="K273" s="43"/>
      <c r="L273" s="43"/>
      <c r="M273" s="44"/>
      <c r="N273" s="44"/>
      <c r="O273" s="44"/>
      <c r="P273" s="44"/>
      <c r="Q273" s="44"/>
      <c r="R273" s="44"/>
      <c r="S273" s="44"/>
      <c r="T273" s="45"/>
      <c r="U273" s="45"/>
      <c r="V273" s="45"/>
      <c r="W273" s="45"/>
      <c r="X273" s="45"/>
      <c r="Y273" s="45"/>
      <c r="Z273" s="45"/>
      <c r="AA273" s="45"/>
      <c r="AB273" s="44"/>
      <c r="AC273" s="44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  <c r="BJ273" s="43"/>
      <c r="BK273" s="43"/>
      <c r="BL273" s="43"/>
      <c r="BM273" s="43"/>
      <c r="BN273" s="43"/>
      <c r="BO273" s="43"/>
      <c r="BP273" s="43"/>
      <c r="BQ273" s="43"/>
      <c r="BR273" s="43"/>
      <c r="BS273" s="43"/>
      <c r="BT273" s="43"/>
      <c r="BU273" s="43"/>
      <c r="BV273" s="43"/>
      <c r="BW273" s="43"/>
      <c r="BX273" s="43"/>
      <c r="BY273" s="43"/>
      <c r="BZ273" s="43"/>
      <c r="CA273" s="43"/>
      <c r="CB273" s="43"/>
      <c r="CC273" s="43"/>
      <c r="CD273" s="43"/>
      <c r="CE273" s="43"/>
    </row>
    <row r="274" spans="1:83" ht="14.25" customHeight="1" x14ac:dyDescent="0.25">
      <c r="A274" s="47"/>
      <c r="B274" s="47"/>
      <c r="C274" s="47"/>
      <c r="D274" s="47"/>
      <c r="E274" s="47"/>
      <c r="F274" s="47"/>
      <c r="G274" s="47"/>
      <c r="H274" s="43"/>
      <c r="I274" s="43"/>
      <c r="J274" s="43"/>
      <c r="K274" s="43"/>
      <c r="L274" s="43"/>
      <c r="M274" s="44"/>
      <c r="N274" s="44"/>
      <c r="O274" s="44"/>
      <c r="P274" s="44"/>
      <c r="Q274" s="44"/>
      <c r="R274" s="44"/>
      <c r="S274" s="44"/>
      <c r="T274" s="45"/>
      <c r="U274" s="45"/>
      <c r="V274" s="45"/>
      <c r="W274" s="45"/>
      <c r="X274" s="45"/>
      <c r="Y274" s="45"/>
      <c r="Z274" s="45"/>
      <c r="AA274" s="45"/>
      <c r="AB274" s="44"/>
      <c r="AC274" s="44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  <c r="BJ274" s="43"/>
      <c r="BK274" s="43"/>
      <c r="BL274" s="43"/>
      <c r="BM274" s="43"/>
      <c r="BN274" s="43"/>
      <c r="BO274" s="43"/>
      <c r="BP274" s="43"/>
      <c r="BQ274" s="43"/>
      <c r="BR274" s="43"/>
      <c r="BS274" s="43"/>
      <c r="BT274" s="43"/>
      <c r="BU274" s="43"/>
      <c r="BV274" s="43"/>
      <c r="BW274" s="43"/>
      <c r="BX274" s="43"/>
      <c r="BY274" s="43"/>
      <c r="BZ274" s="43"/>
      <c r="CA274" s="43"/>
      <c r="CB274" s="43"/>
      <c r="CC274" s="43"/>
      <c r="CD274" s="43"/>
      <c r="CE274" s="43"/>
    </row>
    <row r="275" spans="1:83" ht="14.25" customHeight="1" x14ac:dyDescent="0.25">
      <c r="A275" s="47"/>
      <c r="B275" s="47"/>
      <c r="C275" s="47"/>
      <c r="D275" s="47"/>
      <c r="E275" s="47"/>
      <c r="F275" s="47"/>
      <c r="G275" s="47"/>
      <c r="H275" s="43"/>
      <c r="I275" s="43"/>
      <c r="J275" s="43"/>
      <c r="K275" s="43"/>
      <c r="L275" s="43"/>
      <c r="M275" s="44"/>
      <c r="N275" s="44"/>
      <c r="O275" s="44"/>
      <c r="P275" s="44"/>
      <c r="Q275" s="44"/>
      <c r="R275" s="44"/>
      <c r="S275" s="44"/>
      <c r="T275" s="45"/>
      <c r="U275" s="45"/>
      <c r="V275" s="45"/>
      <c r="W275" s="45"/>
      <c r="X275" s="45"/>
      <c r="Y275" s="45"/>
      <c r="Z275" s="45"/>
      <c r="AA275" s="45"/>
      <c r="AB275" s="44"/>
      <c r="AC275" s="44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  <c r="BJ275" s="43"/>
      <c r="BK275" s="43"/>
      <c r="BL275" s="43"/>
      <c r="BM275" s="43"/>
      <c r="BN275" s="43"/>
      <c r="BO275" s="43"/>
      <c r="BP275" s="43"/>
      <c r="BQ275" s="43"/>
      <c r="BR275" s="43"/>
      <c r="BS275" s="43"/>
      <c r="BT275" s="43"/>
      <c r="BU275" s="43"/>
      <c r="BV275" s="43"/>
      <c r="BW275" s="43"/>
      <c r="BX275" s="43"/>
      <c r="BY275" s="43"/>
      <c r="BZ275" s="43"/>
      <c r="CA275" s="43"/>
      <c r="CB275" s="43"/>
      <c r="CC275" s="43"/>
      <c r="CD275" s="43"/>
      <c r="CE275" s="43"/>
    </row>
    <row r="276" spans="1:83" ht="14.25" customHeight="1" x14ac:dyDescent="0.25">
      <c r="A276" s="47"/>
      <c r="B276" s="47"/>
      <c r="C276" s="47"/>
      <c r="D276" s="47"/>
      <c r="E276" s="47"/>
      <c r="F276" s="47"/>
      <c r="G276" s="47"/>
      <c r="H276" s="43"/>
      <c r="I276" s="43"/>
      <c r="J276" s="43"/>
      <c r="K276" s="43"/>
      <c r="L276" s="43"/>
      <c r="M276" s="44"/>
      <c r="N276" s="44"/>
      <c r="O276" s="44"/>
      <c r="P276" s="44"/>
      <c r="Q276" s="44"/>
      <c r="R276" s="44"/>
      <c r="S276" s="44"/>
      <c r="T276" s="45"/>
      <c r="U276" s="45"/>
      <c r="V276" s="45"/>
      <c r="W276" s="45"/>
      <c r="X276" s="45"/>
      <c r="Y276" s="45"/>
      <c r="Z276" s="45"/>
      <c r="AA276" s="45"/>
      <c r="AB276" s="44"/>
      <c r="AC276" s="44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  <c r="BJ276" s="43"/>
      <c r="BK276" s="43"/>
      <c r="BL276" s="43"/>
      <c r="BM276" s="43"/>
      <c r="BN276" s="43"/>
      <c r="BO276" s="43"/>
      <c r="BP276" s="43"/>
      <c r="BQ276" s="43"/>
      <c r="BR276" s="43"/>
      <c r="BS276" s="43"/>
      <c r="BT276" s="43"/>
      <c r="BU276" s="43"/>
      <c r="BV276" s="43"/>
      <c r="BW276" s="43"/>
      <c r="BX276" s="43"/>
      <c r="BY276" s="43"/>
      <c r="BZ276" s="43"/>
      <c r="CA276" s="43"/>
      <c r="CB276" s="43"/>
      <c r="CC276" s="43"/>
      <c r="CD276" s="43"/>
      <c r="CE276" s="43"/>
    </row>
    <row r="277" spans="1:83" ht="14.25" customHeight="1" x14ac:dyDescent="0.25">
      <c r="A277" s="47"/>
      <c r="B277" s="47"/>
      <c r="C277" s="47"/>
      <c r="D277" s="47"/>
      <c r="E277" s="47"/>
      <c r="F277" s="47"/>
      <c r="G277" s="47"/>
      <c r="H277" s="43"/>
      <c r="I277" s="43"/>
      <c r="J277" s="43"/>
      <c r="K277" s="43"/>
      <c r="L277" s="43"/>
      <c r="M277" s="44"/>
      <c r="N277" s="44"/>
      <c r="O277" s="44"/>
      <c r="P277" s="44"/>
      <c r="Q277" s="44"/>
      <c r="R277" s="44"/>
      <c r="S277" s="44"/>
      <c r="T277" s="45"/>
      <c r="U277" s="45"/>
      <c r="V277" s="45"/>
      <c r="W277" s="45"/>
      <c r="X277" s="45"/>
      <c r="Y277" s="45"/>
      <c r="Z277" s="45"/>
      <c r="AA277" s="45"/>
      <c r="AB277" s="44"/>
      <c r="AC277" s="44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  <c r="BJ277" s="43"/>
      <c r="BK277" s="43"/>
      <c r="BL277" s="43"/>
      <c r="BM277" s="43"/>
      <c r="BN277" s="43"/>
      <c r="BO277" s="43"/>
      <c r="BP277" s="43"/>
      <c r="BQ277" s="43"/>
      <c r="BR277" s="43"/>
      <c r="BS277" s="43"/>
      <c r="BT277" s="43"/>
      <c r="BU277" s="43"/>
      <c r="BV277" s="43"/>
      <c r="BW277" s="43"/>
      <c r="BX277" s="43"/>
      <c r="BY277" s="43"/>
      <c r="BZ277" s="43"/>
      <c r="CA277" s="43"/>
      <c r="CB277" s="43"/>
      <c r="CC277" s="43"/>
      <c r="CD277" s="43"/>
      <c r="CE277" s="43"/>
    </row>
    <row r="278" spans="1:83" ht="14.25" customHeight="1" x14ac:dyDescent="0.25">
      <c r="A278" s="47"/>
      <c r="B278" s="47"/>
      <c r="C278" s="47"/>
      <c r="D278" s="47"/>
      <c r="E278" s="47"/>
      <c r="F278" s="47"/>
      <c r="G278" s="47"/>
      <c r="H278" s="43"/>
      <c r="I278" s="43"/>
      <c r="J278" s="43"/>
      <c r="K278" s="43"/>
      <c r="L278" s="43"/>
      <c r="M278" s="44"/>
      <c r="N278" s="44"/>
      <c r="O278" s="44"/>
      <c r="P278" s="44"/>
      <c r="Q278" s="44"/>
      <c r="R278" s="44"/>
      <c r="S278" s="44"/>
      <c r="T278" s="45"/>
      <c r="U278" s="45"/>
      <c r="V278" s="45"/>
      <c r="W278" s="45"/>
      <c r="X278" s="45"/>
      <c r="Y278" s="45"/>
      <c r="Z278" s="45"/>
      <c r="AA278" s="45"/>
      <c r="AB278" s="44"/>
      <c r="AC278" s="44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  <c r="BJ278" s="43"/>
      <c r="BK278" s="43"/>
      <c r="BL278" s="43"/>
      <c r="BM278" s="43"/>
      <c r="BN278" s="43"/>
      <c r="BO278" s="43"/>
      <c r="BP278" s="43"/>
      <c r="BQ278" s="43"/>
      <c r="BR278" s="43"/>
      <c r="BS278" s="43"/>
      <c r="BT278" s="43"/>
      <c r="BU278" s="43"/>
      <c r="BV278" s="43"/>
      <c r="BW278" s="43"/>
      <c r="BX278" s="43"/>
      <c r="BY278" s="43"/>
      <c r="BZ278" s="43"/>
      <c r="CA278" s="43"/>
      <c r="CB278" s="43"/>
      <c r="CC278" s="43"/>
      <c r="CD278" s="43"/>
      <c r="CE278" s="43"/>
    </row>
    <row r="279" spans="1:83" ht="14.25" customHeight="1" x14ac:dyDescent="0.25">
      <c r="A279" s="47"/>
      <c r="B279" s="47"/>
      <c r="C279" s="47"/>
      <c r="D279" s="47"/>
      <c r="E279" s="47"/>
      <c r="F279" s="47"/>
      <c r="G279" s="47"/>
      <c r="H279" s="43"/>
      <c r="I279" s="43"/>
      <c r="J279" s="43"/>
      <c r="K279" s="43"/>
      <c r="L279" s="43"/>
      <c r="M279" s="44"/>
      <c r="N279" s="44"/>
      <c r="O279" s="44"/>
      <c r="P279" s="44"/>
      <c r="Q279" s="44"/>
      <c r="R279" s="44"/>
      <c r="S279" s="44"/>
      <c r="T279" s="45"/>
      <c r="U279" s="45"/>
      <c r="V279" s="45"/>
      <c r="W279" s="45"/>
      <c r="X279" s="45"/>
      <c r="Y279" s="45"/>
      <c r="Z279" s="45"/>
      <c r="AA279" s="45"/>
      <c r="AB279" s="44"/>
      <c r="AC279" s="44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  <c r="BJ279" s="43"/>
      <c r="BK279" s="43"/>
      <c r="BL279" s="43"/>
      <c r="BM279" s="43"/>
      <c r="BN279" s="43"/>
      <c r="BO279" s="43"/>
      <c r="BP279" s="43"/>
      <c r="BQ279" s="43"/>
      <c r="BR279" s="43"/>
      <c r="BS279" s="43"/>
      <c r="BT279" s="43"/>
      <c r="BU279" s="43"/>
      <c r="BV279" s="43"/>
      <c r="BW279" s="43"/>
      <c r="BX279" s="43"/>
      <c r="BY279" s="43"/>
      <c r="BZ279" s="43"/>
      <c r="CA279" s="43"/>
      <c r="CB279" s="43"/>
      <c r="CC279" s="43"/>
      <c r="CD279" s="43"/>
      <c r="CE279" s="43"/>
    </row>
    <row r="280" spans="1:83" ht="14.25" customHeight="1" x14ac:dyDescent="0.25">
      <c r="A280" s="47"/>
      <c r="B280" s="47"/>
      <c r="C280" s="47"/>
      <c r="D280" s="47"/>
      <c r="E280" s="47"/>
      <c r="F280" s="47"/>
      <c r="G280" s="47"/>
      <c r="H280" s="43"/>
      <c r="I280" s="43"/>
      <c r="J280" s="43"/>
      <c r="K280" s="43"/>
      <c r="L280" s="43"/>
      <c r="M280" s="44"/>
      <c r="N280" s="44"/>
      <c r="O280" s="44"/>
      <c r="P280" s="44"/>
      <c r="Q280" s="44"/>
      <c r="R280" s="44"/>
      <c r="S280" s="44"/>
      <c r="T280" s="45"/>
      <c r="U280" s="45"/>
      <c r="V280" s="45"/>
      <c r="W280" s="45"/>
      <c r="X280" s="45"/>
      <c r="Y280" s="45"/>
      <c r="Z280" s="45"/>
      <c r="AA280" s="45"/>
      <c r="AB280" s="44"/>
      <c r="AC280" s="44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  <c r="BJ280" s="43"/>
      <c r="BK280" s="43"/>
      <c r="BL280" s="43"/>
      <c r="BM280" s="43"/>
      <c r="BN280" s="43"/>
      <c r="BO280" s="43"/>
      <c r="BP280" s="43"/>
      <c r="BQ280" s="43"/>
      <c r="BR280" s="43"/>
      <c r="BS280" s="43"/>
      <c r="BT280" s="43"/>
      <c r="BU280" s="43"/>
      <c r="BV280" s="43"/>
      <c r="BW280" s="43"/>
      <c r="BX280" s="43"/>
      <c r="BY280" s="43"/>
      <c r="BZ280" s="43"/>
      <c r="CA280" s="43"/>
      <c r="CB280" s="43"/>
      <c r="CC280" s="43"/>
      <c r="CD280" s="43"/>
      <c r="CE280" s="43"/>
    </row>
    <row r="281" spans="1:83" ht="14.25" customHeight="1" x14ac:dyDescent="0.25">
      <c r="A281" s="47"/>
      <c r="B281" s="47"/>
      <c r="C281" s="47"/>
      <c r="D281" s="47"/>
      <c r="E281" s="47"/>
      <c r="F281" s="47"/>
      <c r="G281" s="47"/>
      <c r="H281" s="43"/>
      <c r="I281" s="43"/>
      <c r="J281" s="43"/>
      <c r="K281" s="43"/>
      <c r="L281" s="43"/>
      <c r="M281" s="44"/>
      <c r="N281" s="44"/>
      <c r="O281" s="44"/>
      <c r="P281" s="44"/>
      <c r="Q281" s="44"/>
      <c r="R281" s="44"/>
      <c r="S281" s="44"/>
      <c r="T281" s="45"/>
      <c r="U281" s="45"/>
      <c r="V281" s="45"/>
      <c r="W281" s="45"/>
      <c r="X281" s="45"/>
      <c r="Y281" s="45"/>
      <c r="Z281" s="45"/>
      <c r="AA281" s="45"/>
      <c r="AB281" s="44"/>
      <c r="AC281" s="44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  <c r="BJ281" s="43"/>
      <c r="BK281" s="43"/>
      <c r="BL281" s="43"/>
      <c r="BM281" s="43"/>
      <c r="BN281" s="43"/>
      <c r="BO281" s="43"/>
      <c r="BP281" s="43"/>
      <c r="BQ281" s="43"/>
      <c r="BR281" s="43"/>
      <c r="BS281" s="43"/>
      <c r="BT281" s="43"/>
      <c r="BU281" s="43"/>
      <c r="BV281" s="43"/>
      <c r="BW281" s="43"/>
      <c r="BX281" s="43"/>
      <c r="BY281" s="43"/>
      <c r="BZ281" s="43"/>
      <c r="CA281" s="43"/>
      <c r="CB281" s="43"/>
      <c r="CC281" s="43"/>
      <c r="CD281" s="43"/>
      <c r="CE281" s="43"/>
    </row>
    <row r="282" spans="1:83" ht="14.25" customHeight="1" x14ac:dyDescent="0.25">
      <c r="A282" s="47"/>
      <c r="B282" s="47"/>
      <c r="C282" s="47"/>
      <c r="D282" s="47"/>
      <c r="E282" s="47"/>
      <c r="F282" s="47"/>
      <c r="G282" s="47"/>
      <c r="H282" s="43"/>
      <c r="I282" s="43"/>
      <c r="J282" s="43"/>
      <c r="K282" s="43"/>
      <c r="L282" s="43"/>
      <c r="M282" s="44"/>
      <c r="N282" s="44"/>
      <c r="O282" s="44"/>
      <c r="P282" s="44"/>
      <c r="Q282" s="44"/>
      <c r="R282" s="44"/>
      <c r="S282" s="44"/>
      <c r="T282" s="45"/>
      <c r="U282" s="45"/>
      <c r="V282" s="45"/>
      <c r="W282" s="45"/>
      <c r="X282" s="45"/>
      <c r="Y282" s="45"/>
      <c r="Z282" s="45"/>
      <c r="AA282" s="45"/>
      <c r="AB282" s="44"/>
      <c r="AC282" s="44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  <c r="BJ282" s="43"/>
      <c r="BK282" s="43"/>
      <c r="BL282" s="43"/>
      <c r="BM282" s="43"/>
      <c r="BN282" s="43"/>
      <c r="BO282" s="43"/>
      <c r="BP282" s="43"/>
      <c r="BQ282" s="43"/>
      <c r="BR282" s="43"/>
      <c r="BS282" s="43"/>
      <c r="BT282" s="43"/>
      <c r="BU282" s="43"/>
      <c r="BV282" s="43"/>
      <c r="BW282" s="43"/>
      <c r="BX282" s="43"/>
      <c r="BY282" s="43"/>
      <c r="BZ282" s="43"/>
      <c r="CA282" s="43"/>
      <c r="CB282" s="43"/>
      <c r="CC282" s="43"/>
      <c r="CD282" s="43"/>
      <c r="CE282" s="43"/>
    </row>
    <row r="283" spans="1:83" ht="14.25" customHeight="1" x14ac:dyDescent="0.25">
      <c r="A283" s="47"/>
      <c r="B283" s="47"/>
      <c r="C283" s="47"/>
      <c r="D283" s="47"/>
      <c r="E283" s="47"/>
      <c r="F283" s="47"/>
      <c r="G283" s="47"/>
      <c r="H283" s="43"/>
      <c r="I283" s="43"/>
      <c r="J283" s="43"/>
      <c r="K283" s="43"/>
      <c r="L283" s="43"/>
      <c r="M283" s="44"/>
      <c r="N283" s="44"/>
      <c r="O283" s="44"/>
      <c r="P283" s="44"/>
      <c r="Q283" s="44"/>
      <c r="R283" s="44"/>
      <c r="S283" s="44"/>
      <c r="T283" s="45"/>
      <c r="U283" s="45"/>
      <c r="V283" s="45"/>
      <c r="W283" s="45"/>
      <c r="X283" s="45"/>
      <c r="Y283" s="45"/>
      <c r="Z283" s="45"/>
      <c r="AA283" s="45"/>
      <c r="AB283" s="44"/>
      <c r="AC283" s="44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  <c r="BJ283" s="43"/>
      <c r="BK283" s="43"/>
      <c r="BL283" s="43"/>
      <c r="BM283" s="43"/>
      <c r="BN283" s="43"/>
      <c r="BO283" s="43"/>
      <c r="BP283" s="43"/>
      <c r="BQ283" s="43"/>
      <c r="BR283" s="43"/>
      <c r="BS283" s="43"/>
      <c r="BT283" s="43"/>
      <c r="BU283" s="43"/>
      <c r="BV283" s="43"/>
      <c r="BW283" s="43"/>
      <c r="BX283" s="43"/>
      <c r="BY283" s="43"/>
      <c r="BZ283" s="43"/>
      <c r="CA283" s="43"/>
      <c r="CB283" s="43"/>
      <c r="CC283" s="43"/>
      <c r="CD283" s="43"/>
      <c r="CE283" s="43"/>
    </row>
    <row r="284" spans="1:83" ht="14.25" customHeight="1" x14ac:dyDescent="0.25">
      <c r="A284" s="47"/>
      <c r="B284" s="47"/>
      <c r="C284" s="47"/>
      <c r="D284" s="47"/>
      <c r="E284" s="47"/>
      <c r="F284" s="47"/>
      <c r="G284" s="47"/>
      <c r="H284" s="43"/>
      <c r="I284" s="43"/>
      <c r="J284" s="43"/>
      <c r="K284" s="43"/>
      <c r="L284" s="43"/>
      <c r="M284" s="44"/>
      <c r="N284" s="44"/>
      <c r="O284" s="44"/>
      <c r="P284" s="44"/>
      <c r="Q284" s="44"/>
      <c r="R284" s="44"/>
      <c r="S284" s="44"/>
      <c r="T284" s="45"/>
      <c r="U284" s="45"/>
      <c r="V284" s="45"/>
      <c r="W284" s="45"/>
      <c r="X284" s="45"/>
      <c r="Y284" s="45"/>
      <c r="Z284" s="45"/>
      <c r="AA284" s="45"/>
      <c r="AB284" s="44"/>
      <c r="AC284" s="44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  <c r="BJ284" s="43"/>
      <c r="BK284" s="43"/>
      <c r="BL284" s="43"/>
      <c r="BM284" s="43"/>
      <c r="BN284" s="43"/>
      <c r="BO284" s="43"/>
      <c r="BP284" s="43"/>
      <c r="BQ284" s="43"/>
      <c r="BR284" s="43"/>
      <c r="BS284" s="43"/>
      <c r="BT284" s="43"/>
      <c r="BU284" s="43"/>
      <c r="BV284" s="43"/>
      <c r="BW284" s="43"/>
      <c r="BX284" s="43"/>
      <c r="BY284" s="43"/>
      <c r="BZ284" s="43"/>
      <c r="CA284" s="43"/>
      <c r="CB284" s="43"/>
      <c r="CC284" s="43"/>
      <c r="CD284" s="43"/>
      <c r="CE284" s="43"/>
    </row>
    <row r="285" spans="1:83" ht="14.25" customHeight="1" x14ac:dyDescent="0.25">
      <c r="A285" s="47"/>
      <c r="B285" s="47"/>
      <c r="C285" s="47"/>
      <c r="D285" s="47"/>
      <c r="E285" s="47"/>
      <c r="F285" s="47"/>
      <c r="G285" s="47"/>
      <c r="H285" s="43"/>
      <c r="I285" s="43"/>
      <c r="J285" s="43"/>
      <c r="K285" s="43"/>
      <c r="L285" s="43"/>
      <c r="M285" s="44"/>
      <c r="N285" s="44"/>
      <c r="O285" s="44"/>
      <c r="P285" s="44"/>
      <c r="Q285" s="44"/>
      <c r="R285" s="44"/>
      <c r="S285" s="44"/>
      <c r="T285" s="45"/>
      <c r="U285" s="45"/>
      <c r="V285" s="45"/>
      <c r="W285" s="45"/>
      <c r="X285" s="45"/>
      <c r="Y285" s="45"/>
      <c r="Z285" s="45"/>
      <c r="AA285" s="45"/>
      <c r="AB285" s="44"/>
      <c r="AC285" s="44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  <c r="BJ285" s="43"/>
      <c r="BK285" s="43"/>
      <c r="BL285" s="43"/>
      <c r="BM285" s="43"/>
      <c r="BN285" s="43"/>
      <c r="BO285" s="43"/>
      <c r="BP285" s="43"/>
      <c r="BQ285" s="43"/>
      <c r="BR285" s="43"/>
      <c r="BS285" s="43"/>
      <c r="BT285" s="43"/>
      <c r="BU285" s="43"/>
      <c r="BV285" s="43"/>
      <c r="BW285" s="43"/>
      <c r="BX285" s="43"/>
      <c r="BY285" s="43"/>
      <c r="BZ285" s="43"/>
      <c r="CA285" s="43"/>
      <c r="CB285" s="43"/>
      <c r="CC285" s="43"/>
      <c r="CD285" s="43"/>
      <c r="CE285" s="43"/>
    </row>
    <row r="286" spans="1:83" ht="14.25" customHeight="1" x14ac:dyDescent="0.25">
      <c r="A286" s="47"/>
      <c r="B286" s="47"/>
      <c r="C286" s="47"/>
      <c r="D286" s="47"/>
      <c r="E286" s="47"/>
      <c r="F286" s="47"/>
      <c r="G286" s="47"/>
      <c r="H286" s="43"/>
      <c r="I286" s="43"/>
      <c r="J286" s="43"/>
      <c r="K286" s="43"/>
      <c r="L286" s="43"/>
      <c r="M286" s="44"/>
      <c r="N286" s="44"/>
      <c r="O286" s="44"/>
      <c r="P286" s="44"/>
      <c r="Q286" s="44"/>
      <c r="R286" s="44"/>
      <c r="S286" s="44"/>
      <c r="T286" s="45"/>
      <c r="U286" s="45"/>
      <c r="V286" s="45"/>
      <c r="W286" s="45"/>
      <c r="X286" s="45"/>
      <c r="Y286" s="45"/>
      <c r="Z286" s="45"/>
      <c r="AA286" s="45"/>
      <c r="AB286" s="44"/>
      <c r="AC286" s="44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  <c r="BJ286" s="43"/>
      <c r="BK286" s="43"/>
      <c r="BL286" s="43"/>
      <c r="BM286" s="43"/>
      <c r="BN286" s="43"/>
      <c r="BO286" s="43"/>
      <c r="BP286" s="43"/>
      <c r="BQ286" s="43"/>
      <c r="BR286" s="43"/>
      <c r="BS286" s="43"/>
      <c r="BT286" s="43"/>
      <c r="BU286" s="43"/>
      <c r="BV286" s="43"/>
      <c r="BW286" s="43"/>
      <c r="BX286" s="43"/>
      <c r="BY286" s="43"/>
      <c r="BZ286" s="43"/>
      <c r="CA286" s="43"/>
      <c r="CB286" s="43"/>
      <c r="CC286" s="43"/>
      <c r="CD286" s="43"/>
      <c r="CE286" s="43"/>
    </row>
    <row r="287" spans="1:83" ht="14.25" customHeight="1" x14ac:dyDescent="0.25">
      <c r="A287" s="47"/>
      <c r="B287" s="47"/>
      <c r="C287" s="47"/>
      <c r="D287" s="47"/>
      <c r="E287" s="47"/>
      <c r="F287" s="47"/>
      <c r="G287" s="47"/>
      <c r="H287" s="43"/>
      <c r="I287" s="43"/>
      <c r="J287" s="43"/>
      <c r="K287" s="43"/>
      <c r="L287" s="43"/>
      <c r="M287" s="44"/>
      <c r="N287" s="44"/>
      <c r="O287" s="44"/>
      <c r="P287" s="44"/>
      <c r="Q287" s="44"/>
      <c r="R287" s="44"/>
      <c r="S287" s="44"/>
      <c r="T287" s="45"/>
      <c r="U287" s="45"/>
      <c r="V287" s="45"/>
      <c r="W287" s="45"/>
      <c r="X287" s="45"/>
      <c r="Y287" s="45"/>
      <c r="Z287" s="45"/>
      <c r="AA287" s="45"/>
      <c r="AB287" s="44"/>
      <c r="AC287" s="44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  <c r="BJ287" s="43"/>
      <c r="BK287" s="43"/>
      <c r="BL287" s="43"/>
      <c r="BM287" s="43"/>
      <c r="BN287" s="43"/>
      <c r="BO287" s="43"/>
      <c r="BP287" s="43"/>
      <c r="BQ287" s="43"/>
      <c r="BR287" s="43"/>
      <c r="BS287" s="43"/>
      <c r="BT287" s="43"/>
      <c r="BU287" s="43"/>
      <c r="BV287" s="43"/>
      <c r="BW287" s="43"/>
      <c r="BX287" s="43"/>
      <c r="BY287" s="43"/>
      <c r="BZ287" s="43"/>
      <c r="CA287" s="43"/>
      <c r="CB287" s="43"/>
      <c r="CC287" s="43"/>
      <c r="CD287" s="43"/>
      <c r="CE287" s="43"/>
    </row>
    <row r="288" spans="1:83" ht="14.25" customHeight="1" x14ac:dyDescent="0.25">
      <c r="A288" s="47"/>
      <c r="B288" s="47"/>
      <c r="C288" s="47"/>
      <c r="D288" s="47"/>
      <c r="E288" s="47"/>
      <c r="F288" s="47"/>
      <c r="G288" s="47"/>
      <c r="H288" s="43"/>
      <c r="I288" s="43"/>
      <c r="J288" s="43"/>
      <c r="K288" s="43"/>
      <c r="L288" s="43"/>
      <c r="M288" s="44"/>
      <c r="N288" s="44"/>
      <c r="O288" s="44"/>
      <c r="P288" s="44"/>
      <c r="Q288" s="44"/>
      <c r="R288" s="44"/>
      <c r="S288" s="44"/>
      <c r="T288" s="45"/>
      <c r="U288" s="45"/>
      <c r="V288" s="45"/>
      <c r="W288" s="45"/>
      <c r="X288" s="45"/>
      <c r="Y288" s="45"/>
      <c r="Z288" s="45"/>
      <c r="AA288" s="45"/>
      <c r="AB288" s="44"/>
      <c r="AC288" s="44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  <c r="BJ288" s="43"/>
      <c r="BK288" s="43"/>
      <c r="BL288" s="43"/>
      <c r="BM288" s="43"/>
      <c r="BN288" s="43"/>
      <c r="BO288" s="43"/>
      <c r="BP288" s="43"/>
      <c r="BQ288" s="43"/>
      <c r="BR288" s="43"/>
      <c r="BS288" s="43"/>
      <c r="BT288" s="43"/>
      <c r="BU288" s="43"/>
      <c r="BV288" s="43"/>
      <c r="BW288" s="43"/>
      <c r="BX288" s="43"/>
      <c r="BY288" s="43"/>
      <c r="BZ288" s="43"/>
      <c r="CA288" s="43"/>
      <c r="CB288" s="43"/>
      <c r="CC288" s="43"/>
      <c r="CD288" s="43"/>
      <c r="CE288" s="43"/>
    </row>
    <row r="289" spans="1:83" ht="14.25" customHeight="1" x14ac:dyDescent="0.25">
      <c r="A289" s="47"/>
      <c r="B289" s="47"/>
      <c r="C289" s="47"/>
      <c r="D289" s="47"/>
      <c r="E289" s="47"/>
      <c r="F289" s="47"/>
      <c r="G289" s="47"/>
      <c r="H289" s="43"/>
      <c r="I289" s="43"/>
      <c r="J289" s="43"/>
      <c r="K289" s="43"/>
      <c r="L289" s="43"/>
      <c r="M289" s="44"/>
      <c r="N289" s="44"/>
      <c r="O289" s="44"/>
      <c r="P289" s="44"/>
      <c r="Q289" s="44"/>
      <c r="R289" s="44"/>
      <c r="S289" s="44"/>
      <c r="T289" s="45"/>
      <c r="U289" s="45"/>
      <c r="V289" s="45"/>
      <c r="W289" s="45"/>
      <c r="X289" s="45"/>
      <c r="Y289" s="45"/>
      <c r="Z289" s="45"/>
      <c r="AA289" s="45"/>
      <c r="AB289" s="44"/>
      <c r="AC289" s="44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  <c r="BJ289" s="43"/>
      <c r="BK289" s="43"/>
      <c r="BL289" s="43"/>
      <c r="BM289" s="43"/>
      <c r="BN289" s="43"/>
      <c r="BO289" s="43"/>
      <c r="BP289" s="43"/>
      <c r="BQ289" s="43"/>
      <c r="BR289" s="43"/>
      <c r="BS289" s="43"/>
      <c r="BT289" s="43"/>
      <c r="BU289" s="43"/>
      <c r="BV289" s="43"/>
      <c r="BW289" s="43"/>
      <c r="BX289" s="43"/>
      <c r="BY289" s="43"/>
      <c r="BZ289" s="43"/>
      <c r="CA289" s="43"/>
      <c r="CB289" s="43"/>
      <c r="CC289" s="43"/>
      <c r="CD289" s="43"/>
      <c r="CE289" s="43"/>
    </row>
    <row r="290" spans="1:83" ht="14.25" customHeight="1" x14ac:dyDescent="0.25">
      <c r="A290" s="47"/>
      <c r="B290" s="47"/>
      <c r="C290" s="47"/>
      <c r="D290" s="47"/>
      <c r="E290" s="47"/>
      <c r="F290" s="47"/>
      <c r="G290" s="47"/>
      <c r="H290" s="43"/>
      <c r="I290" s="43"/>
      <c r="J290" s="43"/>
      <c r="K290" s="43"/>
      <c r="L290" s="43"/>
      <c r="M290" s="44"/>
      <c r="N290" s="44"/>
      <c r="O290" s="44"/>
      <c r="P290" s="44"/>
      <c r="Q290" s="44"/>
      <c r="R290" s="44"/>
      <c r="S290" s="44"/>
      <c r="T290" s="45"/>
      <c r="U290" s="45"/>
      <c r="V290" s="45"/>
      <c r="W290" s="45"/>
      <c r="X290" s="45"/>
      <c r="Y290" s="45"/>
      <c r="Z290" s="45"/>
      <c r="AA290" s="45"/>
      <c r="AB290" s="44"/>
      <c r="AC290" s="44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  <c r="BJ290" s="43"/>
      <c r="BK290" s="43"/>
      <c r="BL290" s="43"/>
      <c r="BM290" s="43"/>
      <c r="BN290" s="43"/>
      <c r="BO290" s="43"/>
      <c r="BP290" s="43"/>
      <c r="BQ290" s="43"/>
      <c r="BR290" s="43"/>
      <c r="BS290" s="43"/>
      <c r="BT290" s="43"/>
      <c r="BU290" s="43"/>
      <c r="BV290" s="43"/>
      <c r="BW290" s="43"/>
      <c r="BX290" s="43"/>
      <c r="BY290" s="43"/>
      <c r="BZ290" s="43"/>
      <c r="CA290" s="43"/>
      <c r="CB290" s="43"/>
      <c r="CC290" s="43"/>
      <c r="CD290" s="43"/>
      <c r="CE290" s="43"/>
    </row>
    <row r="291" spans="1:83" ht="14.25" customHeight="1" x14ac:dyDescent="0.25">
      <c r="A291" s="47"/>
      <c r="B291" s="47"/>
      <c r="C291" s="47"/>
      <c r="D291" s="47"/>
      <c r="E291" s="47"/>
      <c r="F291" s="47"/>
      <c r="G291" s="47"/>
      <c r="H291" s="43"/>
      <c r="I291" s="43"/>
      <c r="J291" s="43"/>
      <c r="K291" s="43"/>
      <c r="L291" s="43"/>
      <c r="M291" s="44"/>
      <c r="N291" s="44"/>
      <c r="O291" s="44"/>
      <c r="P291" s="44"/>
      <c r="Q291" s="44"/>
      <c r="R291" s="44"/>
      <c r="S291" s="44"/>
      <c r="T291" s="45"/>
      <c r="U291" s="45"/>
      <c r="V291" s="45"/>
      <c r="W291" s="45"/>
      <c r="X291" s="45"/>
      <c r="Y291" s="45"/>
      <c r="Z291" s="45"/>
      <c r="AA291" s="45"/>
      <c r="AB291" s="44"/>
      <c r="AC291" s="44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  <c r="BJ291" s="43"/>
      <c r="BK291" s="43"/>
      <c r="BL291" s="43"/>
      <c r="BM291" s="43"/>
      <c r="BN291" s="43"/>
      <c r="BO291" s="43"/>
      <c r="BP291" s="43"/>
      <c r="BQ291" s="43"/>
      <c r="BR291" s="43"/>
      <c r="BS291" s="43"/>
      <c r="BT291" s="43"/>
      <c r="BU291" s="43"/>
      <c r="BV291" s="43"/>
      <c r="BW291" s="43"/>
      <c r="BX291" s="43"/>
      <c r="BY291" s="43"/>
      <c r="BZ291" s="43"/>
      <c r="CA291" s="43"/>
      <c r="CB291" s="43"/>
      <c r="CC291" s="43"/>
      <c r="CD291" s="43"/>
      <c r="CE291" s="43"/>
    </row>
    <row r="292" spans="1:83" ht="14.25" customHeight="1" x14ac:dyDescent="0.25">
      <c r="A292" s="47"/>
      <c r="B292" s="47"/>
      <c r="C292" s="47"/>
      <c r="D292" s="47"/>
      <c r="E292" s="47"/>
      <c r="F292" s="47"/>
      <c r="G292" s="47"/>
      <c r="H292" s="43"/>
      <c r="I292" s="43"/>
      <c r="J292" s="43"/>
      <c r="K292" s="43"/>
      <c r="L292" s="43"/>
      <c r="M292" s="44"/>
      <c r="N292" s="44"/>
      <c r="O292" s="44"/>
      <c r="P292" s="44"/>
      <c r="Q292" s="44"/>
      <c r="R292" s="44"/>
      <c r="S292" s="44"/>
      <c r="T292" s="45"/>
      <c r="U292" s="45"/>
      <c r="V292" s="45"/>
      <c r="W292" s="45"/>
      <c r="X292" s="45"/>
      <c r="Y292" s="45"/>
      <c r="Z292" s="45"/>
      <c r="AA292" s="45"/>
      <c r="AB292" s="44"/>
      <c r="AC292" s="44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  <c r="BJ292" s="43"/>
      <c r="BK292" s="43"/>
      <c r="BL292" s="43"/>
      <c r="BM292" s="43"/>
      <c r="BN292" s="43"/>
      <c r="BO292" s="43"/>
      <c r="BP292" s="43"/>
      <c r="BQ292" s="43"/>
      <c r="BR292" s="43"/>
      <c r="BS292" s="43"/>
      <c r="BT292" s="43"/>
      <c r="BU292" s="43"/>
      <c r="BV292" s="43"/>
      <c r="BW292" s="43"/>
      <c r="BX292" s="43"/>
      <c r="BY292" s="43"/>
      <c r="BZ292" s="43"/>
      <c r="CA292" s="43"/>
      <c r="CB292" s="43"/>
      <c r="CC292" s="43"/>
      <c r="CD292" s="43"/>
      <c r="CE292" s="43"/>
    </row>
    <row r="293" spans="1:83" ht="14.25" customHeight="1" x14ac:dyDescent="0.25">
      <c r="A293" s="47"/>
      <c r="B293" s="47"/>
      <c r="C293" s="47"/>
      <c r="D293" s="47"/>
      <c r="E293" s="47"/>
      <c r="F293" s="47"/>
      <c r="G293" s="47"/>
      <c r="H293" s="43"/>
      <c r="I293" s="43"/>
      <c r="J293" s="43"/>
      <c r="K293" s="43"/>
      <c r="L293" s="43"/>
      <c r="M293" s="44"/>
      <c r="N293" s="44"/>
      <c r="O293" s="44"/>
      <c r="P293" s="44"/>
      <c r="Q293" s="44"/>
      <c r="R293" s="44"/>
      <c r="S293" s="44"/>
      <c r="T293" s="45"/>
      <c r="U293" s="45"/>
      <c r="V293" s="45"/>
      <c r="W293" s="45"/>
      <c r="X293" s="45"/>
      <c r="Y293" s="45"/>
      <c r="Z293" s="45"/>
      <c r="AA293" s="45"/>
      <c r="AB293" s="44"/>
      <c r="AC293" s="44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  <c r="BJ293" s="43"/>
      <c r="BK293" s="43"/>
      <c r="BL293" s="43"/>
      <c r="BM293" s="43"/>
      <c r="BN293" s="43"/>
      <c r="BO293" s="43"/>
      <c r="BP293" s="43"/>
      <c r="BQ293" s="43"/>
      <c r="BR293" s="43"/>
      <c r="BS293" s="43"/>
      <c r="BT293" s="43"/>
      <c r="BU293" s="43"/>
      <c r="BV293" s="43"/>
      <c r="BW293" s="43"/>
      <c r="BX293" s="43"/>
      <c r="BY293" s="43"/>
      <c r="BZ293" s="43"/>
      <c r="CA293" s="43"/>
      <c r="CB293" s="43"/>
      <c r="CC293" s="43"/>
      <c r="CD293" s="43"/>
      <c r="CE293" s="43"/>
    </row>
    <row r="294" spans="1:83" ht="14.25" customHeight="1" x14ac:dyDescent="0.25">
      <c r="A294" s="47"/>
      <c r="B294" s="47"/>
      <c r="C294" s="47"/>
      <c r="D294" s="47"/>
      <c r="E294" s="47"/>
      <c r="F294" s="47"/>
      <c r="G294" s="47"/>
      <c r="H294" s="43"/>
      <c r="I294" s="43"/>
      <c r="J294" s="43"/>
      <c r="K294" s="43"/>
      <c r="L294" s="43"/>
      <c r="M294" s="44"/>
      <c r="N294" s="44"/>
      <c r="O294" s="44"/>
      <c r="P294" s="44"/>
      <c r="Q294" s="44"/>
      <c r="R294" s="44"/>
      <c r="S294" s="44"/>
      <c r="T294" s="45"/>
      <c r="U294" s="45"/>
      <c r="V294" s="45"/>
      <c r="W294" s="45"/>
      <c r="X294" s="45"/>
      <c r="Y294" s="45"/>
      <c r="Z294" s="45"/>
      <c r="AA294" s="45"/>
      <c r="AB294" s="44"/>
      <c r="AC294" s="44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  <c r="BJ294" s="43"/>
      <c r="BK294" s="43"/>
      <c r="BL294" s="43"/>
      <c r="BM294" s="43"/>
      <c r="BN294" s="43"/>
      <c r="BO294" s="43"/>
      <c r="BP294" s="43"/>
      <c r="BQ294" s="43"/>
      <c r="BR294" s="43"/>
      <c r="BS294" s="43"/>
      <c r="BT294" s="43"/>
      <c r="BU294" s="43"/>
      <c r="BV294" s="43"/>
      <c r="BW294" s="43"/>
      <c r="BX294" s="43"/>
      <c r="BY294" s="43"/>
      <c r="BZ294" s="43"/>
      <c r="CA294" s="43"/>
      <c r="CB294" s="43"/>
      <c r="CC294" s="43"/>
      <c r="CD294" s="43"/>
      <c r="CE294" s="43"/>
    </row>
    <row r="295" spans="1:83" ht="14.25" customHeight="1" x14ac:dyDescent="0.25">
      <c r="A295" s="47"/>
      <c r="B295" s="47"/>
      <c r="C295" s="47"/>
      <c r="D295" s="47"/>
      <c r="E295" s="47"/>
      <c r="F295" s="47"/>
      <c r="G295" s="47"/>
      <c r="H295" s="43"/>
      <c r="I295" s="43"/>
      <c r="J295" s="43"/>
      <c r="K295" s="43"/>
      <c r="L295" s="43"/>
      <c r="M295" s="44"/>
      <c r="N295" s="44"/>
      <c r="O295" s="44"/>
      <c r="P295" s="44"/>
      <c r="Q295" s="44"/>
      <c r="R295" s="44"/>
      <c r="S295" s="44"/>
      <c r="T295" s="45"/>
      <c r="U295" s="45"/>
      <c r="V295" s="45"/>
      <c r="W295" s="45"/>
      <c r="X295" s="45"/>
      <c r="Y295" s="45"/>
      <c r="Z295" s="45"/>
      <c r="AA295" s="45"/>
      <c r="AB295" s="44"/>
      <c r="AC295" s="44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  <c r="BJ295" s="43"/>
      <c r="BK295" s="43"/>
      <c r="BL295" s="43"/>
      <c r="BM295" s="43"/>
      <c r="BN295" s="43"/>
      <c r="BO295" s="43"/>
      <c r="BP295" s="43"/>
      <c r="BQ295" s="43"/>
      <c r="BR295" s="43"/>
      <c r="BS295" s="43"/>
      <c r="BT295" s="43"/>
      <c r="BU295" s="43"/>
      <c r="BV295" s="43"/>
      <c r="BW295" s="43"/>
      <c r="BX295" s="43"/>
      <c r="BY295" s="43"/>
      <c r="BZ295" s="43"/>
      <c r="CA295" s="43"/>
      <c r="CB295" s="43"/>
      <c r="CC295" s="43"/>
      <c r="CD295" s="43"/>
      <c r="CE295" s="43"/>
    </row>
    <row r="296" spans="1:83" ht="14.25" customHeight="1" x14ac:dyDescent="0.25">
      <c r="A296" s="47"/>
      <c r="B296" s="47"/>
      <c r="C296" s="47"/>
      <c r="D296" s="47"/>
      <c r="E296" s="47"/>
      <c r="F296" s="47"/>
      <c r="G296" s="47"/>
      <c r="H296" s="43"/>
      <c r="I296" s="43"/>
      <c r="J296" s="43"/>
      <c r="K296" s="43"/>
      <c r="L296" s="43"/>
      <c r="M296" s="44"/>
      <c r="N296" s="44"/>
      <c r="O296" s="44"/>
      <c r="P296" s="44"/>
      <c r="Q296" s="44"/>
      <c r="R296" s="44"/>
      <c r="S296" s="44"/>
      <c r="T296" s="45"/>
      <c r="U296" s="45"/>
      <c r="V296" s="45"/>
      <c r="W296" s="45"/>
      <c r="X296" s="45"/>
      <c r="Y296" s="45"/>
      <c r="Z296" s="45"/>
      <c r="AA296" s="45"/>
      <c r="AB296" s="44"/>
      <c r="AC296" s="44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  <c r="BJ296" s="43"/>
      <c r="BK296" s="43"/>
      <c r="BL296" s="43"/>
      <c r="BM296" s="43"/>
      <c r="BN296" s="43"/>
      <c r="BO296" s="43"/>
      <c r="BP296" s="43"/>
      <c r="BQ296" s="43"/>
      <c r="BR296" s="43"/>
      <c r="BS296" s="43"/>
      <c r="BT296" s="43"/>
      <c r="BU296" s="43"/>
      <c r="BV296" s="43"/>
      <c r="BW296" s="43"/>
      <c r="BX296" s="43"/>
      <c r="BY296" s="43"/>
      <c r="BZ296" s="43"/>
      <c r="CA296" s="43"/>
      <c r="CB296" s="43"/>
      <c r="CC296" s="43"/>
      <c r="CD296" s="43"/>
      <c r="CE296" s="43"/>
    </row>
    <row r="297" spans="1:83" ht="14.25" customHeight="1" x14ac:dyDescent="0.25">
      <c r="A297" s="47"/>
      <c r="B297" s="47"/>
      <c r="C297" s="47"/>
      <c r="D297" s="47"/>
      <c r="E297" s="47"/>
      <c r="F297" s="47"/>
      <c r="G297" s="47"/>
      <c r="H297" s="43"/>
      <c r="I297" s="43"/>
      <c r="J297" s="43"/>
      <c r="K297" s="43"/>
      <c r="L297" s="43"/>
      <c r="M297" s="44"/>
      <c r="N297" s="44"/>
      <c r="O297" s="44"/>
      <c r="P297" s="44"/>
      <c r="Q297" s="44"/>
      <c r="R297" s="44"/>
      <c r="S297" s="44"/>
      <c r="T297" s="45"/>
      <c r="U297" s="45"/>
      <c r="V297" s="45"/>
      <c r="W297" s="45"/>
      <c r="X297" s="45"/>
      <c r="Y297" s="45"/>
      <c r="Z297" s="45"/>
      <c r="AA297" s="45"/>
      <c r="AB297" s="44"/>
      <c r="AC297" s="44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  <c r="BJ297" s="43"/>
      <c r="BK297" s="43"/>
      <c r="BL297" s="43"/>
      <c r="BM297" s="43"/>
      <c r="BN297" s="43"/>
      <c r="BO297" s="43"/>
      <c r="BP297" s="43"/>
      <c r="BQ297" s="43"/>
      <c r="BR297" s="43"/>
      <c r="BS297" s="43"/>
      <c r="BT297" s="43"/>
      <c r="BU297" s="43"/>
      <c r="BV297" s="43"/>
      <c r="BW297" s="43"/>
      <c r="BX297" s="43"/>
      <c r="BY297" s="43"/>
      <c r="BZ297" s="43"/>
      <c r="CA297" s="43"/>
      <c r="CB297" s="43"/>
      <c r="CC297" s="43"/>
      <c r="CD297" s="43"/>
      <c r="CE297" s="43"/>
    </row>
    <row r="298" spans="1:83" ht="14.25" customHeight="1" x14ac:dyDescent="0.25">
      <c r="A298" s="47"/>
      <c r="B298" s="47"/>
      <c r="C298" s="47"/>
      <c r="D298" s="47"/>
      <c r="E298" s="47"/>
      <c r="F298" s="47"/>
      <c r="G298" s="47"/>
      <c r="H298" s="43"/>
      <c r="I298" s="43"/>
      <c r="J298" s="43"/>
      <c r="K298" s="43"/>
      <c r="L298" s="43"/>
      <c r="M298" s="44"/>
      <c r="N298" s="44"/>
      <c r="O298" s="44"/>
      <c r="P298" s="44"/>
      <c r="Q298" s="44"/>
      <c r="R298" s="44"/>
      <c r="S298" s="44"/>
      <c r="T298" s="45"/>
      <c r="U298" s="45"/>
      <c r="V298" s="45"/>
      <c r="W298" s="45"/>
      <c r="X298" s="45"/>
      <c r="Y298" s="45"/>
      <c r="Z298" s="45"/>
      <c r="AA298" s="45"/>
      <c r="AB298" s="44"/>
      <c r="AC298" s="44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  <c r="BJ298" s="43"/>
      <c r="BK298" s="43"/>
      <c r="BL298" s="43"/>
      <c r="BM298" s="43"/>
      <c r="BN298" s="43"/>
      <c r="BO298" s="43"/>
      <c r="BP298" s="43"/>
      <c r="BQ298" s="43"/>
      <c r="BR298" s="43"/>
      <c r="BS298" s="43"/>
      <c r="BT298" s="43"/>
      <c r="BU298" s="43"/>
      <c r="BV298" s="43"/>
      <c r="BW298" s="43"/>
      <c r="BX298" s="43"/>
      <c r="BY298" s="43"/>
      <c r="BZ298" s="43"/>
      <c r="CA298" s="43"/>
      <c r="CB298" s="43"/>
      <c r="CC298" s="43"/>
      <c r="CD298" s="43"/>
      <c r="CE298" s="43"/>
    </row>
    <row r="299" spans="1:83" ht="14.25" customHeight="1" x14ac:dyDescent="0.25">
      <c r="A299" s="47"/>
      <c r="B299" s="47"/>
      <c r="C299" s="47"/>
      <c r="D299" s="47"/>
      <c r="E299" s="47"/>
      <c r="F299" s="47"/>
      <c r="G299" s="47"/>
      <c r="H299" s="43"/>
      <c r="I299" s="43"/>
      <c r="J299" s="43"/>
      <c r="K299" s="43"/>
      <c r="L299" s="43"/>
      <c r="M299" s="44"/>
      <c r="N299" s="44"/>
      <c r="O299" s="44"/>
      <c r="P299" s="44"/>
      <c r="Q299" s="44"/>
      <c r="R299" s="44"/>
      <c r="S299" s="44"/>
      <c r="T299" s="45"/>
      <c r="U299" s="45"/>
      <c r="V299" s="45"/>
      <c r="W299" s="45"/>
      <c r="X299" s="45"/>
      <c r="Y299" s="45"/>
      <c r="Z299" s="45"/>
      <c r="AA299" s="45"/>
      <c r="AB299" s="44"/>
      <c r="AC299" s="44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  <c r="BJ299" s="43"/>
      <c r="BK299" s="43"/>
      <c r="BL299" s="43"/>
      <c r="BM299" s="43"/>
      <c r="BN299" s="43"/>
      <c r="BO299" s="43"/>
      <c r="BP299" s="43"/>
      <c r="BQ299" s="43"/>
      <c r="BR299" s="43"/>
      <c r="BS299" s="43"/>
      <c r="BT299" s="43"/>
      <c r="BU299" s="43"/>
      <c r="BV299" s="43"/>
      <c r="BW299" s="43"/>
      <c r="BX299" s="43"/>
      <c r="BY299" s="43"/>
      <c r="BZ299" s="43"/>
      <c r="CA299" s="43"/>
      <c r="CB299" s="43"/>
      <c r="CC299" s="43"/>
      <c r="CD299" s="43"/>
      <c r="CE299" s="43"/>
    </row>
    <row r="300" spans="1:83" ht="14.25" customHeight="1" x14ac:dyDescent="0.25">
      <c r="A300" s="53"/>
      <c r="B300" s="53"/>
      <c r="C300" s="53"/>
      <c r="D300" s="53"/>
      <c r="E300" s="53"/>
      <c r="F300" s="53"/>
      <c r="G300" s="53"/>
      <c r="H300" s="43"/>
      <c r="I300" s="43"/>
      <c r="J300" s="43"/>
      <c r="K300" s="43"/>
      <c r="L300" s="43"/>
      <c r="M300" s="44"/>
      <c r="N300" s="44"/>
      <c r="O300" s="44"/>
      <c r="P300" s="44"/>
      <c r="Q300" s="44"/>
      <c r="R300" s="44"/>
      <c r="S300" s="44"/>
      <c r="T300" s="45"/>
      <c r="U300" s="45"/>
      <c r="V300" s="45"/>
      <c r="W300" s="45"/>
      <c r="X300" s="45"/>
      <c r="Y300" s="45"/>
      <c r="Z300" s="45"/>
      <c r="AA300" s="45"/>
      <c r="AB300" s="44"/>
      <c r="AC300" s="44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  <c r="BJ300" s="43"/>
      <c r="BK300" s="43"/>
      <c r="BL300" s="43"/>
      <c r="BM300" s="43"/>
      <c r="BN300" s="43"/>
      <c r="BO300" s="43"/>
      <c r="BP300" s="43"/>
      <c r="BQ300" s="43"/>
      <c r="BR300" s="43"/>
      <c r="BS300" s="43"/>
      <c r="BT300" s="43"/>
      <c r="BU300" s="43"/>
      <c r="BV300" s="43"/>
      <c r="BW300" s="43"/>
      <c r="BX300" s="43"/>
      <c r="BY300" s="43"/>
      <c r="BZ300" s="43"/>
      <c r="CA300" s="43"/>
      <c r="CB300" s="43"/>
      <c r="CC300" s="43"/>
      <c r="CD300" s="43"/>
      <c r="CE300" s="4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Attempt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Lakshmi Keshav</dc:creator>
  <cp:lastModifiedBy>Anitha Saravanan</cp:lastModifiedBy>
  <dcterms:created xsi:type="dcterms:W3CDTF">2025-11-01T00:55:53Z</dcterms:created>
  <dcterms:modified xsi:type="dcterms:W3CDTF">2025-11-06T07:11:57Z</dcterms:modified>
</cp:coreProperties>
</file>